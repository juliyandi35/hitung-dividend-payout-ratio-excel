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52771124 (Hitung Dividend Payout Ratio)\"/>
    </mc:Choice>
  </mc:AlternateContent>
  <xr:revisionPtr revIDLastSave="0" documentId="13_ncr:1_{5DEBB7B7-AF2A-4093-B599-818EF39FE00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EFORE IPO" sheetId="1" r:id="rId1"/>
    <sheet name="AFTER IPO" sheetId="2" r:id="rId2"/>
    <sheet name="Y (DIVIDEND POLICY)" sheetId="3" r:id="rId3"/>
  </sheets>
  <definedNames>
    <definedName name="_xlnm._FilterDatabase" localSheetId="1" hidden="1">'AFTER IPO'!$A$2:$H$174</definedName>
    <definedName name="_xlnm._FilterDatabase" localSheetId="0" hidden="1">'BEFORE IPO'!$A$1:$F$70</definedName>
    <definedName name="_xlnm._FilterDatabase" localSheetId="2" hidden="1">'Y (DIVIDEND POLICY)'!$A$4:$F$178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8" i="3" l="1"/>
  <c r="G169" i="3"/>
  <c r="G167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5" i="3"/>
</calcChain>
</file>

<file path=xl/sharedStrings.xml><?xml version="1.0" encoding="utf-8"?>
<sst xmlns="http://schemas.openxmlformats.org/spreadsheetml/2006/main" count="597" uniqueCount="229">
  <si>
    <t>No</t>
  </si>
  <si>
    <t>Kode</t>
  </si>
  <si>
    <t>Nama Perusahaan</t>
  </si>
  <si>
    <t>Tanggal Pencatatan</t>
  </si>
  <si>
    <t>Saham</t>
  </si>
  <si>
    <t>Papan Pencatatan</t>
  </si>
  <si>
    <t>ACST</t>
  </si>
  <si>
    <t>Acset Indonusa Tbk.</t>
  </si>
  <si>
    <t>12.675.160.000</t>
  </si>
  <si>
    <t>Pengembangan</t>
  </si>
  <si>
    <t>ADHI</t>
  </si>
  <si>
    <t>Adhi Karya (Persero) Tbk.</t>
  </si>
  <si>
    <t>8.407.608.979</t>
  </si>
  <si>
    <t>Utama</t>
  </si>
  <si>
    <t>ARKO</t>
  </si>
  <si>
    <t>Arkora Hydro Tbk.</t>
  </si>
  <si>
    <t>2.928.495.000</t>
  </si>
  <si>
    <t>ASLI</t>
  </si>
  <si>
    <t>Asri Karya Lestari Tbk.</t>
  </si>
  <si>
    <t>6.250.000.000</t>
  </si>
  <si>
    <t>BALI</t>
  </si>
  <si>
    <t>Bali Towerindo Sentra Tbk.</t>
  </si>
  <si>
    <t>3.934.592.500</t>
  </si>
  <si>
    <t>BDKR</t>
  </si>
  <si>
    <t>Berdikari Pondasi Perkasa Tbk.</t>
  </si>
  <si>
    <t>4.725.101.522</t>
  </si>
  <si>
    <t>BREN</t>
  </si>
  <si>
    <t>Barito Renewables Energy Tbk.</t>
  </si>
  <si>
    <t>133.786.220.000</t>
  </si>
  <si>
    <t>BTEL</t>
  </si>
  <si>
    <t>Bakrie Telecom Tbk.</t>
  </si>
  <si>
    <t>36.822.665.755</t>
  </si>
  <si>
    <t>Pemantauan Khusus</t>
  </si>
  <si>
    <t>BUKK</t>
  </si>
  <si>
    <t>Bukaka Teknik Utama Tbk.</t>
  </si>
  <si>
    <t>2.640.452.000</t>
  </si>
  <si>
    <t>CASS</t>
  </si>
  <si>
    <t>Cardig Aero Services Tbk.</t>
  </si>
  <si>
    <t>2.086.950.000</t>
  </si>
  <si>
    <t>CENT</t>
  </si>
  <si>
    <t>Centratama Telekomunikasi Indo</t>
  </si>
  <si>
    <t>31.183.464.900</t>
  </si>
  <si>
    <t>CMNP</t>
  </si>
  <si>
    <t xml:space="preserve">Citra Marga Nusaphala Persada </t>
  </si>
  <si>
    <t>5.437.410.867</t>
  </si>
  <si>
    <t>DATA</t>
  </si>
  <si>
    <t>Remala Abadi Tbk.</t>
  </si>
  <si>
    <t>1.375.000.000</t>
  </si>
  <si>
    <t>DGIK</t>
  </si>
  <si>
    <t>Nusa Konstruksi Enjiniring Tbk</t>
  </si>
  <si>
    <t>5.541.165.000</t>
  </si>
  <si>
    <t>EXCL</t>
  </si>
  <si>
    <t>XL Axiata Tbk.</t>
  </si>
  <si>
    <t>13.128.430.665</t>
  </si>
  <si>
    <t>FIMP</t>
  </si>
  <si>
    <t>Fimperkasa Utama Tbk.</t>
  </si>
  <si>
    <t>400.000.975</t>
  </si>
  <si>
    <t>FREN</t>
  </si>
  <si>
    <t>Smartfren Telecom Tbk.</t>
  </si>
  <si>
    <t>476.703.803.363</t>
  </si>
  <si>
    <t>GHON</t>
  </si>
  <si>
    <t>Gihon Telekomunikasi Indonesia</t>
  </si>
  <si>
    <t>550.000.000</t>
  </si>
  <si>
    <t>GMFI</t>
  </si>
  <si>
    <t>Garuda Maintenance Facility Ae</t>
  </si>
  <si>
    <t>28.233.511.500</t>
  </si>
  <si>
    <t>GOLD</t>
  </si>
  <si>
    <t>Visi Telekomunikasi Infrastruk</t>
  </si>
  <si>
    <t>1.277.276.000</t>
  </si>
  <si>
    <t>HADE</t>
  </si>
  <si>
    <t>Himalaya Energi Perkasa Tbk.</t>
  </si>
  <si>
    <t>2.120.000.000</t>
  </si>
  <si>
    <t>IBST</t>
  </si>
  <si>
    <t>Inti Bangun Sejahtera Tbk.</t>
  </si>
  <si>
    <t>1.350.904.927</t>
  </si>
  <si>
    <t>IDPR</t>
  </si>
  <si>
    <t>Indonesia Pondasi Raya Tbk.</t>
  </si>
  <si>
    <t>2.003.000.000</t>
  </si>
  <si>
    <t>INET</t>
  </si>
  <si>
    <t>Sinergi Inti Andalan Prima Tbk</t>
  </si>
  <si>
    <t>7.500.058.222</t>
  </si>
  <si>
    <t>IPCC</t>
  </si>
  <si>
    <t>Indonesia Kendaraan Terminal T</t>
  </si>
  <si>
    <t>1.818.384.820</t>
  </si>
  <si>
    <t>IPCM</t>
  </si>
  <si>
    <t>Jasa Armada Indonesia Tbk.</t>
  </si>
  <si>
    <t>5.284.811.100</t>
  </si>
  <si>
    <t>ISAT</t>
  </si>
  <si>
    <t>Indosat Tbk.</t>
  </si>
  <si>
    <t>8.062.702.740</t>
  </si>
  <si>
    <t>JAST</t>
  </si>
  <si>
    <t>Jasnita Telekomindo Tbk.</t>
  </si>
  <si>
    <t>1.082.575.738</t>
  </si>
  <si>
    <t>JKON</t>
  </si>
  <si>
    <t>Jaya Konstruksi Manggala Prata</t>
  </si>
  <si>
    <t>16.308.519.860</t>
  </si>
  <si>
    <t>JSMR</t>
  </si>
  <si>
    <t>Jasa Marga (Persero) Tbk.</t>
  </si>
  <si>
    <t>7.257.871.200</t>
  </si>
  <si>
    <t>KARW</t>
  </si>
  <si>
    <t>Meratus Jasa Prima Tbk.</t>
  </si>
  <si>
    <t>587.152.700</t>
  </si>
  <si>
    <t>KBLV</t>
  </si>
  <si>
    <t>First Media Tbk.</t>
  </si>
  <si>
    <t>1.742.167.907</t>
  </si>
  <si>
    <t>KEEN</t>
  </si>
  <si>
    <t>Kencana Energi Lestari Tbk.</t>
  </si>
  <si>
    <t>3.666.312.500</t>
  </si>
  <si>
    <t>KETR</t>
  </si>
  <si>
    <t>Ketrosden Triasmitra Tbk.</t>
  </si>
  <si>
    <t>2.841.262.838</t>
  </si>
  <si>
    <t>KOKA</t>
  </si>
  <si>
    <t>Koka Indonesia Tbk.</t>
  </si>
  <si>
    <t>2.861.333.000</t>
  </si>
  <si>
    <t>KRYA</t>
  </si>
  <si>
    <t>Bangun Karya Perkasa Jaya Tbk.</t>
  </si>
  <si>
    <t>1.663.943.474</t>
  </si>
  <si>
    <t>LCKM</t>
  </si>
  <si>
    <t>LCK Global Kedaton Tbk.</t>
  </si>
  <si>
    <t>1.000.000.000</t>
  </si>
  <si>
    <t>LINK</t>
  </si>
  <si>
    <t>Link Net Tbk.</t>
  </si>
  <si>
    <t>2.863.195.484</t>
  </si>
  <si>
    <t>MANG</t>
  </si>
  <si>
    <t>Manggung Polahraya Tbk.</t>
  </si>
  <si>
    <t>3.812.500.000</t>
  </si>
  <si>
    <t>Akselerasi</t>
  </si>
  <si>
    <t>META</t>
  </si>
  <si>
    <t>Nusantara Infrastructure Tbk.</t>
  </si>
  <si>
    <t>17.710.708.194</t>
  </si>
  <si>
    <t>MORA</t>
  </si>
  <si>
    <t>Mora Telematika Indonesia Tbk.</t>
  </si>
  <si>
    <t>23.646.668.691</t>
  </si>
  <si>
    <t>MPOW</t>
  </si>
  <si>
    <t>Megapower Makmur Tbk.</t>
  </si>
  <si>
    <t>816.997.053</t>
  </si>
  <si>
    <t>MTEL</t>
  </si>
  <si>
    <t>Dayamitra Telekomunikasi Tbk.</t>
  </si>
  <si>
    <t>83.552.719.544</t>
  </si>
  <si>
    <t>MTPS</t>
  </si>
  <si>
    <t>Meta Epsi Tbk.</t>
  </si>
  <si>
    <t>2.084.850.829</t>
  </si>
  <si>
    <t>MTRA</t>
  </si>
  <si>
    <t>Mitra Pemuda Tbk.</t>
  </si>
  <si>
    <t>770.000.000</t>
  </si>
  <si>
    <t>NRCA</t>
  </si>
  <si>
    <t>Nusa Raya Cipta Tbk.</t>
  </si>
  <si>
    <t>2.496.258.344</t>
  </si>
  <si>
    <t>OASA</t>
  </si>
  <si>
    <t>Maharaksa Biru Energi Tbk.</t>
  </si>
  <si>
    <t>6.347.220.000</t>
  </si>
  <si>
    <t>PBSA</t>
  </si>
  <si>
    <t>Paramita Bangun Sarana Tbk.</t>
  </si>
  <si>
    <t>3.000.000.000</t>
  </si>
  <si>
    <t>PGEO</t>
  </si>
  <si>
    <t>Pertamina Geothermal Energy Tb</t>
  </si>
  <si>
    <t>41.504.216.472</t>
  </si>
  <si>
    <t>PORT</t>
  </si>
  <si>
    <t>Nusantara Pelabuhan Handal Tbk</t>
  </si>
  <si>
    <t>2.813.941.985</t>
  </si>
  <si>
    <t>POWR</t>
  </si>
  <si>
    <t>Cikarang Listrindo Tbk.</t>
  </si>
  <si>
    <t>16.087.156.000</t>
  </si>
  <si>
    <t>PPRE</t>
  </si>
  <si>
    <t>PP Presisi Tbk.</t>
  </si>
  <si>
    <t>10.224.271.000</t>
  </si>
  <si>
    <t>PTDU</t>
  </si>
  <si>
    <t>Djasa Ubersakti Tbk.</t>
  </si>
  <si>
    <t>1.500.000.000</t>
  </si>
  <si>
    <t>PTPP</t>
  </si>
  <si>
    <t>PP (Persero) Tbk.</t>
  </si>
  <si>
    <t>6.199.897.354</t>
  </si>
  <si>
    <t>PTPW</t>
  </si>
  <si>
    <t>Pratama Widya Tbk.</t>
  </si>
  <si>
    <t>878.187.500</t>
  </si>
  <si>
    <t>RONY</t>
  </si>
  <si>
    <t>Aesler Grup Internasional Tbk.</t>
  </si>
  <si>
    <t>1.250.000.000</t>
  </si>
  <si>
    <t>SMKM</t>
  </si>
  <si>
    <t>Sumber Mas Konstruksi Tbk.</t>
  </si>
  <si>
    <t>1.253.000.000</t>
  </si>
  <si>
    <t>SSIA</t>
  </si>
  <si>
    <t>Surya Semesta Internusa Tbk.</t>
  </si>
  <si>
    <t>4.705.249.440</t>
  </si>
  <si>
    <t>SUPR</t>
  </si>
  <si>
    <t>Solusi Tunas Pratama Tbk.</t>
  </si>
  <si>
    <t>1.137.579.698</t>
  </si>
  <si>
    <t>TAMA</t>
  </si>
  <si>
    <t>Lancartama Sejati Tbk.</t>
  </si>
  <si>
    <t>1.200.000.696</t>
  </si>
  <si>
    <t>TBIG</t>
  </si>
  <si>
    <t>Tower Bersama Infrastructure T</t>
  </si>
  <si>
    <t>22.656.999.445</t>
  </si>
  <si>
    <t>TGRA</t>
  </si>
  <si>
    <t>Terregra Asia Energy Tbk.</t>
  </si>
  <si>
    <t>2.750.000.000</t>
  </si>
  <si>
    <t>TLKM</t>
  </si>
  <si>
    <t>Telkom Indonesia (Persero) Tbk</t>
  </si>
  <si>
    <t>99.062.216.600</t>
  </si>
  <si>
    <t>TOPS</t>
  </si>
  <si>
    <t>Totalindo Eka Persada Tbk.</t>
  </si>
  <si>
    <t>33.330.000.000</t>
  </si>
  <si>
    <t>TOTL</t>
  </si>
  <si>
    <t>Total Bangun Persada Tbk.</t>
  </si>
  <si>
    <t>3.410.000.000</t>
  </si>
  <si>
    <t>TOWR</t>
  </si>
  <si>
    <t>Sarana Menara Nusantara Tbk.</t>
  </si>
  <si>
    <t>51.014.625.000</t>
  </si>
  <si>
    <t>WEGE</t>
  </si>
  <si>
    <t>Wijaya Karya Bangunan Gedung T</t>
  </si>
  <si>
    <t>9.572.000.000</t>
  </si>
  <si>
    <t>WIKA</t>
  </si>
  <si>
    <t>Wijaya Karya (Persero) Tbk.</t>
  </si>
  <si>
    <t>39.873.063.858</t>
  </si>
  <si>
    <t>WSKT</t>
  </si>
  <si>
    <t>Waskita Karya (Persero) Tbk.</t>
  </si>
  <si>
    <t>28.806.807.016</t>
  </si>
  <si>
    <t>DPR =</t>
  </si>
  <si>
    <t>Periode</t>
  </si>
  <si>
    <t>Keterangan</t>
  </si>
  <si>
    <t>NO</t>
  </si>
  <si>
    <t>KODE SAHAM</t>
  </si>
  <si>
    <t>TAHUN</t>
  </si>
  <si>
    <t>DPR</t>
  </si>
  <si>
    <t>tidak ada data web maupun idx</t>
  </si>
  <si>
    <t>Consumer Infrastruktur</t>
  </si>
  <si>
    <t>Total dividends</t>
  </si>
  <si>
    <t>Net Income</t>
  </si>
  <si>
    <t>Total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</si>
</sst>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yyyy\-mm\-dd;@"/>
    <numFmt numFmtId="166" formatCode="[$USD]\ #,##0_);\([$USD]\ #,##0\)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21252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1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1" fillId="5" borderId="2" xfId="0" applyFont="1" applyFill="1" applyBorder="1" applyAlignment="1">
      <alignment horizontal="center"/>
    </xf>
    <xf numFmtId="0" fontId="0" fillId="5" borderId="2" xfId="0" applyFill="1" applyBorder="1"/>
    <xf numFmtId="165" fontId="0" fillId="0" borderId="2" xfId="0" applyNumberFormat="1" applyBorder="1"/>
    <xf numFmtId="0" fontId="0" fillId="0" borderId="2" xfId="0" applyBorder="1"/>
    <xf numFmtId="164" fontId="0" fillId="0" borderId="0" xfId="1" applyFont="1"/>
    <xf numFmtId="164" fontId="0" fillId="6" borderId="0" xfId="1" applyFont="1" applyFill="1"/>
    <xf numFmtId="166" fontId="0" fillId="0" borderId="0" xfId="1" applyNumberFormat="1" applyFont="1"/>
    <xf numFmtId="164" fontId="3" fillId="0" borderId="0" xfId="1" applyFont="1"/>
    <xf numFmtId="164" fontId="0" fillId="0" borderId="0" xfId="1" applyFont="1" applyFill="1"/>
    <xf numFmtId="164" fontId="3" fillId="0" borderId="0" xfId="1" applyFont="1" applyAlignment="1">
      <alignment horizontal="right" wrapText="1"/>
    </xf>
    <xf numFmtId="0" fontId="3" fillId="0" borderId="0" xfId="1" applyNumberFormat="1" applyFont="1"/>
    <xf numFmtId="0" fontId="6" fillId="0" borderId="0" xfId="0" applyFont="1"/>
    <xf numFmtId="3" fontId="3" fillId="0" borderId="0" xfId="1" applyNumberFormat="1" applyFont="1"/>
    <xf numFmtId="1" fontId="3" fillId="0" borderId="0" xfId="1" applyNumberFormat="1" applyFont="1"/>
    <xf numFmtId="1" fontId="5" fillId="0" borderId="0" xfId="0" applyNumberFormat="1" applyFont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 [0]" xfId="1" builtinId="6"/>
    <cellStyle name="Normal" xfId="0" builtinId="0"/>
    <cellStyle name="Normal 2" xfId="2" xr:uid="{D4B58086-C341-5C44-9865-8F8239444C07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0"/>
  <sheetViews>
    <sheetView zoomScale="115" workbookViewId="0">
      <selection activeCell="C12" sqref="C12"/>
    </sheetView>
  </sheetViews>
  <sheetFormatPr defaultColWidth="10.6640625" defaultRowHeight="15.5" x14ac:dyDescent="0.35"/>
  <cols>
    <col min="1" max="1" width="6.5" customWidth="1"/>
    <col min="2" max="2" width="6" customWidth="1"/>
    <col min="3" max="3" width="32" customWidth="1"/>
    <col min="4" max="4" width="20" customWidth="1"/>
    <col min="5" max="5" width="17" customWidth="1"/>
    <col min="6" max="6" width="19" customWidth="1"/>
    <col min="8" max="8" width="17.33203125" customWidth="1"/>
  </cols>
  <sheetData>
    <row r="1" spans="1: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8" x14ac:dyDescent="0.35">
      <c r="A2">
        <v>1</v>
      </c>
      <c r="B2" t="s">
        <v>6</v>
      </c>
      <c r="C2" t="s">
        <v>7</v>
      </c>
      <c r="D2" s="1">
        <v>41449</v>
      </c>
      <c r="E2" t="s">
        <v>8</v>
      </c>
      <c r="F2" t="s">
        <v>9</v>
      </c>
    </row>
    <row r="3" spans="1:8" x14ac:dyDescent="0.35">
      <c r="A3">
        <v>2</v>
      </c>
      <c r="B3" t="s">
        <v>10</v>
      </c>
      <c r="C3" t="s">
        <v>11</v>
      </c>
      <c r="D3" s="1">
        <v>38064</v>
      </c>
      <c r="E3" t="s">
        <v>12</v>
      </c>
      <c r="F3" t="s">
        <v>13</v>
      </c>
    </row>
    <row r="4" spans="1:8" s="2" customFormat="1" hidden="1" x14ac:dyDescent="0.35">
      <c r="A4" s="2">
        <v>3</v>
      </c>
      <c r="B4" s="2" t="s">
        <v>14</v>
      </c>
      <c r="C4" s="2" t="s">
        <v>15</v>
      </c>
      <c r="D4" s="3">
        <v>44750</v>
      </c>
      <c r="E4" s="2" t="s">
        <v>16</v>
      </c>
      <c r="F4" s="2" t="s">
        <v>9</v>
      </c>
    </row>
    <row r="5" spans="1:8" x14ac:dyDescent="0.35">
      <c r="A5">
        <v>4</v>
      </c>
      <c r="B5" t="s">
        <v>17</v>
      </c>
      <c r="C5" t="s">
        <v>18</v>
      </c>
      <c r="D5" s="1">
        <v>45296</v>
      </c>
      <c r="E5" t="s">
        <v>19</v>
      </c>
      <c r="F5" t="s">
        <v>9</v>
      </c>
    </row>
    <row r="6" spans="1:8" x14ac:dyDescent="0.35">
      <c r="A6">
        <v>5</v>
      </c>
      <c r="B6" t="s">
        <v>20</v>
      </c>
      <c r="C6" t="s">
        <v>21</v>
      </c>
      <c r="D6" s="1">
        <v>41711</v>
      </c>
      <c r="E6" t="s">
        <v>22</v>
      </c>
      <c r="F6" t="s">
        <v>13</v>
      </c>
    </row>
    <row r="7" spans="1:8" s="2" customFormat="1" hidden="1" x14ac:dyDescent="0.35">
      <c r="A7" s="2">
        <v>6</v>
      </c>
      <c r="B7" s="2" t="s">
        <v>23</v>
      </c>
      <c r="C7" s="2" t="s">
        <v>24</v>
      </c>
      <c r="D7" s="3">
        <v>44988</v>
      </c>
      <c r="E7" s="2" t="s">
        <v>25</v>
      </c>
      <c r="F7" s="2" t="s">
        <v>13</v>
      </c>
    </row>
    <row r="8" spans="1:8" x14ac:dyDescent="0.35">
      <c r="A8">
        <v>7</v>
      </c>
      <c r="B8" t="s">
        <v>26</v>
      </c>
      <c r="C8" t="s">
        <v>27</v>
      </c>
      <c r="D8" s="1">
        <v>40109</v>
      </c>
      <c r="E8" t="s">
        <v>28</v>
      </c>
      <c r="F8" t="s">
        <v>13</v>
      </c>
    </row>
    <row r="9" spans="1:8" x14ac:dyDescent="0.35">
      <c r="A9">
        <v>8</v>
      </c>
      <c r="B9" t="s">
        <v>29</v>
      </c>
      <c r="C9" t="s">
        <v>30</v>
      </c>
      <c r="D9" s="1">
        <v>38751</v>
      </c>
      <c r="E9" t="s">
        <v>31</v>
      </c>
      <c r="F9" t="s">
        <v>32</v>
      </c>
    </row>
    <row r="10" spans="1:8" x14ac:dyDescent="0.35">
      <c r="A10">
        <v>9</v>
      </c>
      <c r="B10" t="s">
        <v>33</v>
      </c>
      <c r="C10" t="s">
        <v>34</v>
      </c>
      <c r="D10" s="1">
        <v>42184</v>
      </c>
      <c r="E10" t="s">
        <v>35</v>
      </c>
      <c r="F10" t="s">
        <v>9</v>
      </c>
    </row>
    <row r="11" spans="1:8" x14ac:dyDescent="0.35">
      <c r="A11">
        <v>10</v>
      </c>
      <c r="B11" t="s">
        <v>36</v>
      </c>
      <c r="C11" t="s">
        <v>37</v>
      </c>
      <c r="D11" s="1">
        <v>40882</v>
      </c>
      <c r="E11" t="s">
        <v>38</v>
      </c>
      <c r="F11" t="s">
        <v>13</v>
      </c>
    </row>
    <row r="12" spans="1:8" x14ac:dyDescent="0.35">
      <c r="A12">
        <v>11</v>
      </c>
      <c r="B12" t="s">
        <v>39</v>
      </c>
      <c r="C12" t="s">
        <v>40</v>
      </c>
      <c r="D12" s="1">
        <v>37196</v>
      </c>
      <c r="E12" t="s">
        <v>41</v>
      </c>
      <c r="F12" t="s">
        <v>32</v>
      </c>
    </row>
    <row r="13" spans="1:8" x14ac:dyDescent="0.35">
      <c r="A13">
        <v>12</v>
      </c>
      <c r="B13" t="s">
        <v>42</v>
      </c>
      <c r="C13" t="s">
        <v>43</v>
      </c>
      <c r="D13" s="1">
        <v>34709</v>
      </c>
      <c r="E13" t="s">
        <v>44</v>
      </c>
      <c r="F13" t="s">
        <v>13</v>
      </c>
    </row>
    <row r="14" spans="1:8" x14ac:dyDescent="0.35">
      <c r="A14">
        <v>13</v>
      </c>
      <c r="B14" t="s">
        <v>45</v>
      </c>
      <c r="C14" t="s">
        <v>46</v>
      </c>
      <c r="D14" s="1">
        <v>45419</v>
      </c>
      <c r="E14" t="s">
        <v>47</v>
      </c>
      <c r="F14" t="s">
        <v>9</v>
      </c>
      <c r="H14" s="1"/>
    </row>
    <row r="15" spans="1:8" x14ac:dyDescent="0.35">
      <c r="A15">
        <v>14</v>
      </c>
      <c r="B15" t="s">
        <v>48</v>
      </c>
      <c r="C15" t="s">
        <v>49</v>
      </c>
      <c r="D15" s="1">
        <v>39435</v>
      </c>
      <c r="E15" t="s">
        <v>50</v>
      </c>
      <c r="F15" t="s">
        <v>9</v>
      </c>
      <c r="H15" s="1"/>
    </row>
    <row r="16" spans="1:8" x14ac:dyDescent="0.35">
      <c r="A16">
        <v>15</v>
      </c>
      <c r="B16" t="s">
        <v>51</v>
      </c>
      <c r="C16" t="s">
        <v>52</v>
      </c>
      <c r="D16" s="1">
        <v>38624</v>
      </c>
      <c r="E16" t="s">
        <v>53</v>
      </c>
      <c r="F16" t="s">
        <v>13</v>
      </c>
      <c r="H16" s="1"/>
    </row>
    <row r="17" spans="1:8" s="2" customFormat="1" hidden="1" x14ac:dyDescent="0.35">
      <c r="A17" s="2">
        <v>16</v>
      </c>
      <c r="B17" s="2" t="s">
        <v>54</v>
      </c>
      <c r="C17" s="2" t="s">
        <v>55</v>
      </c>
      <c r="D17" s="3">
        <v>44295</v>
      </c>
      <c r="E17" s="2" t="s">
        <v>56</v>
      </c>
      <c r="F17" s="2" t="s">
        <v>32</v>
      </c>
      <c r="H17" s="3"/>
    </row>
    <row r="18" spans="1:8" x14ac:dyDescent="0.35">
      <c r="A18">
        <v>17</v>
      </c>
      <c r="B18" t="s">
        <v>57</v>
      </c>
      <c r="C18" t="s">
        <v>58</v>
      </c>
      <c r="D18" s="1">
        <v>39050</v>
      </c>
      <c r="E18" t="s">
        <v>59</v>
      </c>
      <c r="F18" t="s">
        <v>32</v>
      </c>
      <c r="H18" s="1"/>
    </row>
    <row r="19" spans="1:8" x14ac:dyDescent="0.35">
      <c r="A19">
        <v>18</v>
      </c>
      <c r="B19" t="s">
        <v>60</v>
      </c>
      <c r="C19" t="s">
        <v>61</v>
      </c>
      <c r="D19" s="1">
        <v>43199</v>
      </c>
      <c r="E19" t="s">
        <v>62</v>
      </c>
      <c r="F19" t="s">
        <v>9</v>
      </c>
      <c r="H19" s="1"/>
    </row>
    <row r="20" spans="1:8" x14ac:dyDescent="0.35">
      <c r="A20">
        <v>19</v>
      </c>
      <c r="B20" t="s">
        <v>63</v>
      </c>
      <c r="C20" t="s">
        <v>64</v>
      </c>
      <c r="D20" s="1">
        <v>43018</v>
      </c>
      <c r="E20" t="s">
        <v>65</v>
      </c>
      <c r="F20" t="s">
        <v>32</v>
      </c>
      <c r="H20" s="1"/>
    </row>
    <row r="21" spans="1:8" x14ac:dyDescent="0.35">
      <c r="A21">
        <v>20</v>
      </c>
      <c r="B21" t="s">
        <v>66</v>
      </c>
      <c r="C21" t="s">
        <v>67</v>
      </c>
      <c r="D21" s="1">
        <v>40366</v>
      </c>
      <c r="E21" t="s">
        <v>68</v>
      </c>
      <c r="F21" t="s">
        <v>9</v>
      </c>
      <c r="H21" s="1"/>
    </row>
    <row r="22" spans="1:8" x14ac:dyDescent="0.35">
      <c r="A22">
        <v>21</v>
      </c>
      <c r="B22" t="s">
        <v>69</v>
      </c>
      <c r="C22" t="s">
        <v>70</v>
      </c>
      <c r="D22" s="1">
        <v>38089</v>
      </c>
      <c r="E22" t="s">
        <v>71</v>
      </c>
      <c r="F22" t="s">
        <v>32</v>
      </c>
      <c r="H22" s="1"/>
    </row>
    <row r="23" spans="1:8" x14ac:dyDescent="0.35">
      <c r="A23">
        <v>22</v>
      </c>
      <c r="B23" t="s">
        <v>72</v>
      </c>
      <c r="C23" t="s">
        <v>73</v>
      </c>
      <c r="D23" s="1">
        <v>41152</v>
      </c>
      <c r="E23" t="s">
        <v>74</v>
      </c>
      <c r="F23" t="s">
        <v>32</v>
      </c>
      <c r="H23" s="1"/>
    </row>
    <row r="24" spans="1:8" x14ac:dyDescent="0.35">
      <c r="A24">
        <v>23</v>
      </c>
      <c r="B24" t="s">
        <v>75</v>
      </c>
      <c r="C24" t="s">
        <v>76</v>
      </c>
      <c r="D24" s="1">
        <v>42348</v>
      </c>
      <c r="E24" t="s">
        <v>77</v>
      </c>
      <c r="F24" t="s">
        <v>9</v>
      </c>
      <c r="H24" s="1"/>
    </row>
    <row r="25" spans="1:8" s="2" customFormat="1" hidden="1" x14ac:dyDescent="0.35">
      <c r="A25" s="2">
        <v>24</v>
      </c>
      <c r="B25" s="2" t="s">
        <v>78</v>
      </c>
      <c r="C25" s="2" t="s">
        <v>79</v>
      </c>
      <c r="D25" s="3">
        <v>45131</v>
      </c>
      <c r="E25" s="2" t="s">
        <v>80</v>
      </c>
      <c r="F25" s="2" t="s">
        <v>9</v>
      </c>
      <c r="H25" s="3"/>
    </row>
    <row r="26" spans="1:8" x14ac:dyDescent="0.35">
      <c r="A26">
        <v>25</v>
      </c>
      <c r="B26" t="s">
        <v>81</v>
      </c>
      <c r="C26" t="s">
        <v>82</v>
      </c>
      <c r="D26" s="1">
        <v>43290</v>
      </c>
      <c r="E26" t="s">
        <v>83</v>
      </c>
      <c r="F26" t="s">
        <v>13</v>
      </c>
      <c r="H26" s="1"/>
    </row>
    <row r="27" spans="1:8" x14ac:dyDescent="0.35">
      <c r="A27">
        <v>26</v>
      </c>
      <c r="B27" t="s">
        <v>84</v>
      </c>
      <c r="C27" t="s">
        <v>85</v>
      </c>
      <c r="D27" s="1">
        <v>43091</v>
      </c>
      <c r="E27" t="s">
        <v>86</v>
      </c>
      <c r="F27" t="s">
        <v>9</v>
      </c>
      <c r="H27" s="1"/>
    </row>
    <row r="28" spans="1:8" x14ac:dyDescent="0.35">
      <c r="A28">
        <v>27</v>
      </c>
      <c r="B28" t="s">
        <v>87</v>
      </c>
      <c r="C28" t="s">
        <v>88</v>
      </c>
      <c r="D28" s="1">
        <v>34626</v>
      </c>
      <c r="E28" t="s">
        <v>89</v>
      </c>
      <c r="F28" t="s">
        <v>13</v>
      </c>
      <c r="H28" s="1"/>
    </row>
    <row r="29" spans="1:8" x14ac:dyDescent="0.35">
      <c r="A29">
        <v>28</v>
      </c>
      <c r="B29" t="s">
        <v>90</v>
      </c>
      <c r="C29" t="s">
        <v>91</v>
      </c>
      <c r="D29" s="1">
        <v>43601</v>
      </c>
      <c r="E29" t="s">
        <v>92</v>
      </c>
      <c r="F29" t="s">
        <v>32</v>
      </c>
      <c r="H29" s="1"/>
    </row>
    <row r="30" spans="1:8" x14ac:dyDescent="0.35">
      <c r="A30">
        <v>29</v>
      </c>
      <c r="B30" t="s">
        <v>93</v>
      </c>
      <c r="C30" t="s">
        <v>94</v>
      </c>
      <c r="D30" s="1">
        <v>39420</v>
      </c>
      <c r="E30" t="s">
        <v>95</v>
      </c>
      <c r="F30" t="s">
        <v>13</v>
      </c>
      <c r="H30" s="1"/>
    </row>
    <row r="31" spans="1:8" x14ac:dyDescent="0.35">
      <c r="A31">
        <v>30</v>
      </c>
      <c r="B31" t="s">
        <v>96</v>
      </c>
      <c r="C31" t="s">
        <v>97</v>
      </c>
      <c r="D31" s="1">
        <v>39398</v>
      </c>
      <c r="E31" t="s">
        <v>98</v>
      </c>
      <c r="F31" t="s">
        <v>13</v>
      </c>
      <c r="H31" s="1"/>
    </row>
    <row r="32" spans="1:8" x14ac:dyDescent="0.35">
      <c r="A32">
        <v>31</v>
      </c>
      <c r="B32" t="s">
        <v>99</v>
      </c>
      <c r="C32" t="s">
        <v>100</v>
      </c>
      <c r="D32" s="1">
        <v>34688</v>
      </c>
      <c r="E32" t="s">
        <v>101</v>
      </c>
      <c r="F32" t="s">
        <v>32</v>
      </c>
      <c r="H32" s="1"/>
    </row>
    <row r="33" spans="1:8" x14ac:dyDescent="0.35">
      <c r="A33">
        <v>32</v>
      </c>
      <c r="B33" t="s">
        <v>102</v>
      </c>
      <c r="C33" t="s">
        <v>103</v>
      </c>
      <c r="D33" s="1">
        <v>36581</v>
      </c>
      <c r="E33" t="s">
        <v>104</v>
      </c>
      <c r="F33" t="s">
        <v>32</v>
      </c>
      <c r="H33" s="1"/>
    </row>
    <row r="34" spans="1:8" x14ac:dyDescent="0.35">
      <c r="A34">
        <v>33</v>
      </c>
      <c r="B34" t="s">
        <v>105</v>
      </c>
      <c r="C34" t="s">
        <v>106</v>
      </c>
      <c r="D34" s="1">
        <v>43710</v>
      </c>
      <c r="E34" t="s">
        <v>107</v>
      </c>
      <c r="F34" t="s">
        <v>13</v>
      </c>
      <c r="H34" s="1"/>
    </row>
    <row r="35" spans="1:8" s="2" customFormat="1" hidden="1" x14ac:dyDescent="0.35">
      <c r="A35" s="2">
        <v>34</v>
      </c>
      <c r="B35" s="2" t="s">
        <v>108</v>
      </c>
      <c r="C35" s="2" t="s">
        <v>109</v>
      </c>
      <c r="D35" s="3">
        <v>44207</v>
      </c>
      <c r="E35" s="2" t="s">
        <v>110</v>
      </c>
      <c r="F35" s="2" t="s">
        <v>9</v>
      </c>
      <c r="H35" s="3"/>
    </row>
    <row r="36" spans="1:8" s="2" customFormat="1" hidden="1" x14ac:dyDescent="0.35">
      <c r="A36" s="2">
        <v>35</v>
      </c>
      <c r="B36" s="2" t="s">
        <v>111</v>
      </c>
      <c r="C36" s="2" t="s">
        <v>112</v>
      </c>
      <c r="D36" s="3">
        <v>45210</v>
      </c>
      <c r="E36" s="2" t="s">
        <v>113</v>
      </c>
      <c r="F36" s="2" t="s">
        <v>9</v>
      </c>
      <c r="H36" s="3"/>
    </row>
    <row r="37" spans="1:8" s="2" customFormat="1" hidden="1" x14ac:dyDescent="0.35">
      <c r="A37" s="2">
        <v>36</v>
      </c>
      <c r="B37" s="2" t="s">
        <v>114</v>
      </c>
      <c r="C37" s="2" t="s">
        <v>115</v>
      </c>
      <c r="D37" s="3">
        <v>44767</v>
      </c>
      <c r="E37" s="2" t="s">
        <v>116</v>
      </c>
      <c r="F37" s="2" t="s">
        <v>9</v>
      </c>
      <c r="H37" s="3"/>
    </row>
    <row r="38" spans="1:8" x14ac:dyDescent="0.35">
      <c r="A38">
        <v>37</v>
      </c>
      <c r="B38" t="s">
        <v>117</v>
      </c>
      <c r="C38" t="s">
        <v>118</v>
      </c>
      <c r="D38" s="1">
        <v>43116</v>
      </c>
      <c r="E38" t="s">
        <v>119</v>
      </c>
      <c r="F38" t="s">
        <v>9</v>
      </c>
      <c r="H38" s="1"/>
    </row>
    <row r="39" spans="1:8" x14ac:dyDescent="0.35">
      <c r="A39">
        <v>38</v>
      </c>
      <c r="B39" t="s">
        <v>120</v>
      </c>
      <c r="C39" t="s">
        <v>121</v>
      </c>
      <c r="D39" s="1">
        <v>41792</v>
      </c>
      <c r="E39" t="s">
        <v>122</v>
      </c>
      <c r="F39" t="s">
        <v>9</v>
      </c>
      <c r="H39" s="1"/>
    </row>
    <row r="40" spans="1:8" x14ac:dyDescent="0.35">
      <c r="A40">
        <v>39</v>
      </c>
      <c r="B40" t="s">
        <v>123</v>
      </c>
      <c r="C40" t="s">
        <v>124</v>
      </c>
      <c r="D40" s="1">
        <v>45302</v>
      </c>
      <c r="E40" t="s">
        <v>125</v>
      </c>
      <c r="F40" t="s">
        <v>126</v>
      </c>
      <c r="H40" s="1"/>
    </row>
    <row r="41" spans="1:8" x14ac:dyDescent="0.35">
      <c r="A41">
        <v>40</v>
      </c>
      <c r="B41" t="s">
        <v>127</v>
      </c>
      <c r="C41" t="s">
        <v>128</v>
      </c>
      <c r="D41" s="1">
        <v>37090</v>
      </c>
      <c r="E41" t="s">
        <v>129</v>
      </c>
      <c r="F41" t="s">
        <v>32</v>
      </c>
      <c r="H41" s="1"/>
    </row>
    <row r="42" spans="1:8" s="2" customFormat="1" hidden="1" x14ac:dyDescent="0.35">
      <c r="A42" s="2">
        <v>41</v>
      </c>
      <c r="B42" s="2" t="s">
        <v>130</v>
      </c>
      <c r="C42" s="2" t="s">
        <v>131</v>
      </c>
      <c r="D42" s="3">
        <v>44781</v>
      </c>
      <c r="E42" s="2" t="s">
        <v>132</v>
      </c>
      <c r="F42" s="2" t="s">
        <v>13</v>
      </c>
      <c r="H42" s="3"/>
    </row>
    <row r="43" spans="1:8" x14ac:dyDescent="0.35">
      <c r="A43">
        <v>42</v>
      </c>
      <c r="B43" t="s">
        <v>133</v>
      </c>
      <c r="C43" t="s">
        <v>134</v>
      </c>
      <c r="D43" s="1">
        <v>42921</v>
      </c>
      <c r="E43" t="s">
        <v>135</v>
      </c>
      <c r="F43" t="s">
        <v>9</v>
      </c>
      <c r="H43" s="1"/>
    </row>
    <row r="44" spans="1:8" s="2" customFormat="1" hidden="1" x14ac:dyDescent="0.35">
      <c r="A44" s="2">
        <v>43</v>
      </c>
      <c r="B44" s="2" t="s">
        <v>136</v>
      </c>
      <c r="C44" s="2" t="s">
        <v>137</v>
      </c>
      <c r="D44" s="3">
        <v>44522</v>
      </c>
      <c r="E44" s="2" t="s">
        <v>138</v>
      </c>
      <c r="F44" s="2" t="s">
        <v>13</v>
      </c>
      <c r="H44" s="3"/>
    </row>
    <row r="45" spans="1:8" x14ac:dyDescent="0.35">
      <c r="A45">
        <v>44</v>
      </c>
      <c r="B45" t="s">
        <v>139</v>
      </c>
      <c r="C45" t="s">
        <v>140</v>
      </c>
      <c r="D45" s="1">
        <v>43565</v>
      </c>
      <c r="E45" t="s">
        <v>141</v>
      </c>
      <c r="F45" t="s">
        <v>32</v>
      </c>
      <c r="H45" s="1"/>
    </row>
    <row r="46" spans="1:8" x14ac:dyDescent="0.35">
      <c r="A46">
        <v>45</v>
      </c>
      <c r="B46" t="s">
        <v>142</v>
      </c>
      <c r="C46" t="s">
        <v>143</v>
      </c>
      <c r="D46" s="1">
        <v>42410</v>
      </c>
      <c r="E46" t="s">
        <v>144</v>
      </c>
      <c r="F46" t="s">
        <v>32</v>
      </c>
      <c r="H46" s="1"/>
    </row>
    <row r="47" spans="1:8" x14ac:dyDescent="0.35">
      <c r="A47">
        <v>46</v>
      </c>
      <c r="B47" t="s">
        <v>145</v>
      </c>
      <c r="C47" t="s">
        <v>146</v>
      </c>
      <c r="D47" s="1">
        <v>41452</v>
      </c>
      <c r="E47" t="s">
        <v>147</v>
      </c>
      <c r="F47" t="s">
        <v>9</v>
      </c>
      <c r="H47" s="1"/>
    </row>
    <row r="48" spans="1:8" x14ac:dyDescent="0.35">
      <c r="A48">
        <v>47</v>
      </c>
      <c r="B48" t="s">
        <v>148</v>
      </c>
      <c r="C48" t="s">
        <v>149</v>
      </c>
      <c r="D48" s="1">
        <v>42569</v>
      </c>
      <c r="E48" t="s">
        <v>150</v>
      </c>
      <c r="F48" t="s">
        <v>9</v>
      </c>
      <c r="H48" s="1"/>
    </row>
    <row r="49" spans="1:8" x14ac:dyDescent="0.35">
      <c r="A49">
        <v>48</v>
      </c>
      <c r="B49" t="s">
        <v>151</v>
      </c>
      <c r="C49" t="s">
        <v>152</v>
      </c>
      <c r="D49" s="1">
        <v>42641</v>
      </c>
      <c r="E49" t="s">
        <v>153</v>
      </c>
      <c r="F49" t="s">
        <v>9</v>
      </c>
      <c r="H49" s="1"/>
    </row>
    <row r="50" spans="1:8" s="2" customFormat="1" hidden="1" x14ac:dyDescent="0.35">
      <c r="A50" s="2">
        <v>49</v>
      </c>
      <c r="B50" s="2" t="s">
        <v>154</v>
      </c>
      <c r="C50" s="2" t="s">
        <v>155</v>
      </c>
      <c r="D50" s="3">
        <v>44981</v>
      </c>
      <c r="E50" s="2" t="s">
        <v>156</v>
      </c>
      <c r="F50" s="2" t="s">
        <v>13</v>
      </c>
      <c r="H50" s="3"/>
    </row>
    <row r="51" spans="1:8" x14ac:dyDescent="0.35">
      <c r="A51">
        <v>50</v>
      </c>
      <c r="B51" t="s">
        <v>157</v>
      </c>
      <c r="C51" t="s">
        <v>158</v>
      </c>
      <c r="D51" s="1">
        <v>42810</v>
      </c>
      <c r="E51" t="s">
        <v>159</v>
      </c>
      <c r="F51" t="s">
        <v>9</v>
      </c>
      <c r="H51" s="1"/>
    </row>
    <row r="52" spans="1:8" x14ac:dyDescent="0.35">
      <c r="A52">
        <v>51</v>
      </c>
      <c r="B52" t="s">
        <v>160</v>
      </c>
      <c r="C52" t="s">
        <v>161</v>
      </c>
      <c r="D52" s="1">
        <v>42535</v>
      </c>
      <c r="E52" t="s">
        <v>162</v>
      </c>
      <c r="F52" t="s">
        <v>13</v>
      </c>
      <c r="H52" s="1"/>
    </row>
    <row r="53" spans="1:8" x14ac:dyDescent="0.35">
      <c r="A53">
        <v>52</v>
      </c>
      <c r="B53" t="s">
        <v>163</v>
      </c>
      <c r="C53" t="s">
        <v>164</v>
      </c>
      <c r="D53" s="1">
        <v>43063</v>
      </c>
      <c r="E53" t="s">
        <v>165</v>
      </c>
      <c r="F53" t="s">
        <v>9</v>
      </c>
      <c r="H53" s="1"/>
    </row>
    <row r="54" spans="1:8" x14ac:dyDescent="0.35">
      <c r="A54">
        <v>53</v>
      </c>
      <c r="B54" t="s">
        <v>166</v>
      </c>
      <c r="C54" t="s">
        <v>167</v>
      </c>
      <c r="D54" s="1">
        <v>44173</v>
      </c>
      <c r="E54" t="s">
        <v>168</v>
      </c>
      <c r="F54" t="s">
        <v>32</v>
      </c>
      <c r="H54" s="1"/>
    </row>
    <row r="55" spans="1:8" x14ac:dyDescent="0.35">
      <c r="A55">
        <v>54</v>
      </c>
      <c r="B55" t="s">
        <v>169</v>
      </c>
      <c r="C55" t="s">
        <v>170</v>
      </c>
      <c r="D55" s="1">
        <v>40218</v>
      </c>
      <c r="E55" t="s">
        <v>171</v>
      </c>
      <c r="F55" t="s">
        <v>13</v>
      </c>
      <c r="H55" s="1"/>
    </row>
    <row r="56" spans="1:8" x14ac:dyDescent="0.35">
      <c r="A56">
        <v>55</v>
      </c>
      <c r="B56" t="s">
        <v>172</v>
      </c>
      <c r="C56" t="s">
        <v>173</v>
      </c>
      <c r="D56" s="1">
        <v>43868</v>
      </c>
      <c r="E56" t="s">
        <v>174</v>
      </c>
      <c r="F56" t="s">
        <v>9</v>
      </c>
      <c r="H56" s="1"/>
    </row>
    <row r="57" spans="1:8" x14ac:dyDescent="0.35">
      <c r="A57">
        <v>56</v>
      </c>
      <c r="B57" t="s">
        <v>175</v>
      </c>
      <c r="C57" t="s">
        <v>176</v>
      </c>
      <c r="D57" s="1">
        <v>43930</v>
      </c>
      <c r="E57" t="s">
        <v>177</v>
      </c>
      <c r="F57" t="s">
        <v>32</v>
      </c>
      <c r="H57" s="1"/>
    </row>
    <row r="58" spans="1:8" s="2" customFormat="1" hidden="1" x14ac:dyDescent="0.35">
      <c r="A58" s="2">
        <v>57</v>
      </c>
      <c r="B58" s="2" t="s">
        <v>178</v>
      </c>
      <c r="C58" s="2" t="s">
        <v>179</v>
      </c>
      <c r="D58" s="3">
        <v>44629</v>
      </c>
      <c r="E58" s="2" t="s">
        <v>180</v>
      </c>
      <c r="F58" s="2" t="s">
        <v>126</v>
      </c>
      <c r="H58" s="3"/>
    </row>
    <row r="59" spans="1:8" x14ac:dyDescent="0.35">
      <c r="A59">
        <v>58</v>
      </c>
      <c r="B59" t="s">
        <v>181</v>
      </c>
      <c r="C59" t="s">
        <v>182</v>
      </c>
      <c r="D59" s="1">
        <v>35516</v>
      </c>
      <c r="E59" t="s">
        <v>183</v>
      </c>
      <c r="F59" t="s">
        <v>13</v>
      </c>
      <c r="H59" s="1"/>
    </row>
    <row r="60" spans="1:8" x14ac:dyDescent="0.35">
      <c r="A60">
        <v>59</v>
      </c>
      <c r="B60" t="s">
        <v>184</v>
      </c>
      <c r="C60" t="s">
        <v>185</v>
      </c>
      <c r="D60" s="1">
        <v>40827</v>
      </c>
      <c r="E60" t="s">
        <v>186</v>
      </c>
      <c r="F60" t="s">
        <v>32</v>
      </c>
      <c r="H60" s="1"/>
    </row>
    <row r="61" spans="1:8" x14ac:dyDescent="0.35">
      <c r="A61">
        <v>60</v>
      </c>
      <c r="B61" t="s">
        <v>187</v>
      </c>
      <c r="C61" t="s">
        <v>188</v>
      </c>
      <c r="D61" s="1">
        <v>43871</v>
      </c>
      <c r="E61" t="s">
        <v>189</v>
      </c>
      <c r="F61" t="s">
        <v>32</v>
      </c>
      <c r="H61" s="1"/>
    </row>
    <row r="62" spans="1:8" x14ac:dyDescent="0.35">
      <c r="A62">
        <v>61</v>
      </c>
      <c r="B62" t="s">
        <v>190</v>
      </c>
      <c r="C62" t="s">
        <v>191</v>
      </c>
      <c r="D62" s="1">
        <v>40477</v>
      </c>
      <c r="E62" t="s">
        <v>192</v>
      </c>
      <c r="F62" t="s">
        <v>13</v>
      </c>
      <c r="H62" s="1"/>
    </row>
    <row r="63" spans="1:8" x14ac:dyDescent="0.35">
      <c r="A63">
        <v>62</v>
      </c>
      <c r="B63" t="s">
        <v>193</v>
      </c>
      <c r="C63" t="s">
        <v>194</v>
      </c>
      <c r="D63" s="1">
        <v>42871</v>
      </c>
      <c r="E63" t="s">
        <v>195</v>
      </c>
      <c r="F63" t="s">
        <v>32</v>
      </c>
      <c r="H63" s="1"/>
    </row>
    <row r="64" spans="1:8" x14ac:dyDescent="0.35">
      <c r="A64">
        <v>63</v>
      </c>
      <c r="B64" t="s">
        <v>196</v>
      </c>
      <c r="C64" t="s">
        <v>197</v>
      </c>
      <c r="D64" s="1">
        <v>35017</v>
      </c>
      <c r="E64" t="s">
        <v>198</v>
      </c>
      <c r="F64" t="s">
        <v>13</v>
      </c>
      <c r="H64" s="1"/>
    </row>
    <row r="65" spans="1:8" x14ac:dyDescent="0.35">
      <c r="A65">
        <v>64</v>
      </c>
      <c r="B65" t="s">
        <v>199</v>
      </c>
      <c r="C65" t="s">
        <v>200</v>
      </c>
      <c r="D65" s="1">
        <v>42902</v>
      </c>
      <c r="E65" t="s">
        <v>201</v>
      </c>
      <c r="F65" t="s">
        <v>32</v>
      </c>
      <c r="H65" s="1"/>
    </row>
    <row r="66" spans="1:8" x14ac:dyDescent="0.35">
      <c r="A66">
        <v>65</v>
      </c>
      <c r="B66" t="s">
        <v>202</v>
      </c>
      <c r="C66" t="s">
        <v>203</v>
      </c>
      <c r="D66" s="1">
        <v>38923</v>
      </c>
      <c r="E66" t="s">
        <v>204</v>
      </c>
      <c r="F66" t="s">
        <v>13</v>
      </c>
      <c r="H66" s="1"/>
    </row>
    <row r="67" spans="1:8" x14ac:dyDescent="0.35">
      <c r="A67">
        <v>66</v>
      </c>
      <c r="B67" t="s">
        <v>205</v>
      </c>
      <c r="C67" t="s">
        <v>206</v>
      </c>
      <c r="D67" s="1">
        <v>40245</v>
      </c>
      <c r="E67" t="s">
        <v>207</v>
      </c>
      <c r="F67" t="s">
        <v>13</v>
      </c>
      <c r="H67" s="1"/>
    </row>
    <row r="68" spans="1:8" x14ac:dyDescent="0.35">
      <c r="A68">
        <v>67</v>
      </c>
      <c r="B68" t="s">
        <v>208</v>
      </c>
      <c r="C68" t="s">
        <v>209</v>
      </c>
      <c r="D68" s="1">
        <v>43069</v>
      </c>
      <c r="E68" t="s">
        <v>210</v>
      </c>
      <c r="F68" t="s">
        <v>13</v>
      </c>
      <c r="H68" s="1"/>
    </row>
    <row r="69" spans="1:8" x14ac:dyDescent="0.35">
      <c r="A69">
        <v>68</v>
      </c>
      <c r="B69" t="s">
        <v>211</v>
      </c>
      <c r="C69" t="s">
        <v>212</v>
      </c>
      <c r="D69" s="1">
        <v>39384</v>
      </c>
      <c r="E69" t="s">
        <v>213</v>
      </c>
      <c r="F69" t="s">
        <v>9</v>
      </c>
      <c r="H69" s="1"/>
    </row>
    <row r="70" spans="1:8" x14ac:dyDescent="0.35">
      <c r="A70">
        <v>69</v>
      </c>
      <c r="B70" t="s">
        <v>214</v>
      </c>
      <c r="C70" t="s">
        <v>215</v>
      </c>
      <c r="D70" s="1">
        <v>41262</v>
      </c>
      <c r="E70" t="s">
        <v>216</v>
      </c>
      <c r="F70" t="s">
        <v>32</v>
      </c>
      <c r="H70" s="1"/>
    </row>
  </sheetData>
  <autoFilter ref="A1:F70" xr:uid="{00000000-0001-0000-0000-000000000000}">
    <filterColumn colId="3">
      <colorFilter dxfId="0"/>
    </filterColumn>
  </autoFilter>
  <pageMargins left="0.7" right="0.7" top="0.75" bottom="0.75" header="0.3" footer="0.3"/>
  <ignoredErrors>
    <ignoredError sqref="A1:F1 A6:C6 A2:C2 E2:F2 A24:C24 A7:C7 E7:F7 A3:C3 E3:F3 A4:C4 E4:F4 A5:C5 E5:F5 E6:F6 A8:C8 E8:F8 A9:C9 E9:F9 A10:C10 E10:F10 A11:C11 E11:F11 A12:C12 E12:F12 A13:C13 E13:F13 A14:C14 E14:F14 A15:C15 E15:F15 A16:C16 E16:F16 A17:C17 E17:F17 A18:C18 E18:F18 A19:C19 E19:F19 A66:C66 A25:C25 E25:F25 A26:C26 E26:F26 A27:C27 E27:F27 A28:C28 E28:F28 A29:C29 E29:F29 A30:C30 E30:F30 A31:C31 E31:F31 A32:C32 E32:F32 A33:C33 E33:F33 A34:C34 E34:F34 A35:C35 E35:F35 A36:C36 E36:F36 A37:C37 E37:F37 A38:C38 E38:F38 A39:C39 E39:F39 A40:C40 E40:F40 A41:C41 E41:F41 A42:C42 E42:F42 A43:C43 E43:F43 A44:C44 E44:F44 A45:C45 E45:F45 A46:C46 E46:F46 A47:C47 E47:F47 A48:C48 E48:F48 A49:C49 E49:F49 A50:C50 E50:F50 A51:C51 E51:F51 A52:C52 E52:F52 A53:C53 E53:F53 A54:C54 E54:F54 A55:C55 E55:F55 A56:C56 E56:F56 A57:C57 E57:F57 A58:C58 E58:F58 A59:C59 E59:F59 A60:C60 E60:F60 A61:C61 E61:F61 A62:C62 E62:F62 A70:C70 A67:C67 E67:F67 A68:C68 E68:F68 A69:C69 E69:F69 E70:F70 A20:C20 E20:F20 A21:C21 E21:F21 A22:C22 E22:F22 A23:C23 E23:F23 E24:F24 A63:C63 E63:F63 A64:C64 E64:F64 A65:C65 E65:F65 E66:F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B7B3-76A8-0B45-AF10-D1A33E16FDE2}">
  <dimension ref="A1:H176"/>
  <sheetViews>
    <sheetView workbookViewId="0">
      <selection activeCell="C3" sqref="C3:C5"/>
    </sheetView>
  </sheetViews>
  <sheetFormatPr defaultColWidth="12.33203125" defaultRowHeight="15.5" x14ac:dyDescent="0.35"/>
  <cols>
    <col min="1" max="1" width="6.5" customWidth="1"/>
    <col min="2" max="2" width="7" customWidth="1"/>
    <col min="3" max="3" width="29.33203125" customWidth="1"/>
    <col min="4" max="4" width="17.5" hidden="1" customWidth="1"/>
    <col min="5" max="5" width="14.6640625" hidden="1" customWidth="1"/>
    <col min="6" max="6" width="17.83203125" hidden="1" customWidth="1"/>
    <col min="7" max="7" width="15.6640625" customWidth="1"/>
    <col min="8" max="8" width="37.5" customWidth="1"/>
  </cols>
  <sheetData>
    <row r="1" spans="1:8" x14ac:dyDescent="0.35">
      <c r="A1" s="25" t="s">
        <v>225</v>
      </c>
      <c r="B1" s="25"/>
      <c r="C1" s="25"/>
      <c r="D1" s="25"/>
      <c r="E1" s="25"/>
      <c r="F1" s="25"/>
    </row>
    <row r="2" spans="1:8" x14ac:dyDescent="0.3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218</v>
      </c>
      <c r="H2" s="10" t="s">
        <v>219</v>
      </c>
    </row>
    <row r="3" spans="1:8" x14ac:dyDescent="0.35">
      <c r="A3" s="24">
        <v>1</v>
      </c>
      <c r="B3" s="24" t="s">
        <v>6</v>
      </c>
      <c r="C3" s="24" t="s">
        <v>7</v>
      </c>
      <c r="D3" s="11">
        <v>41449</v>
      </c>
      <c r="E3" s="12" t="s">
        <v>8</v>
      </c>
      <c r="F3" s="12" t="s">
        <v>9</v>
      </c>
      <c r="G3" s="12">
        <v>2021</v>
      </c>
      <c r="H3" s="12"/>
    </row>
    <row r="4" spans="1:8" x14ac:dyDescent="0.35">
      <c r="A4" s="24"/>
      <c r="B4" s="24"/>
      <c r="C4" s="24"/>
      <c r="D4" s="11"/>
      <c r="E4" s="12"/>
      <c r="F4" s="12"/>
      <c r="G4" s="12">
        <v>2022</v>
      </c>
      <c r="H4" s="12"/>
    </row>
    <row r="5" spans="1:8" x14ac:dyDescent="0.35">
      <c r="A5" s="24"/>
      <c r="B5" s="24"/>
      <c r="C5" s="24"/>
      <c r="D5" s="11"/>
      <c r="E5" s="12"/>
      <c r="F5" s="12"/>
      <c r="G5" s="12">
        <v>2023</v>
      </c>
      <c r="H5" s="12"/>
    </row>
    <row r="6" spans="1:8" x14ac:dyDescent="0.35">
      <c r="A6" s="24">
        <v>2</v>
      </c>
      <c r="B6" s="24" t="s">
        <v>10</v>
      </c>
      <c r="C6" s="24" t="s">
        <v>11</v>
      </c>
      <c r="D6" s="11">
        <v>38064</v>
      </c>
      <c r="E6" s="12" t="s">
        <v>12</v>
      </c>
      <c r="F6" s="12" t="s">
        <v>13</v>
      </c>
      <c r="G6" s="12">
        <v>2021</v>
      </c>
      <c r="H6" s="12"/>
    </row>
    <row r="7" spans="1:8" x14ac:dyDescent="0.35">
      <c r="A7" s="24"/>
      <c r="B7" s="24"/>
      <c r="C7" s="24"/>
      <c r="D7" s="11"/>
      <c r="E7" s="12"/>
      <c r="F7" s="12"/>
      <c r="G7" s="12">
        <v>2022</v>
      </c>
      <c r="H7" s="12"/>
    </row>
    <row r="8" spans="1:8" x14ac:dyDescent="0.35">
      <c r="A8" s="24"/>
      <c r="B8" s="24"/>
      <c r="C8" s="24"/>
      <c r="D8" s="11"/>
      <c r="E8" s="12"/>
      <c r="F8" s="12"/>
      <c r="G8" s="12">
        <v>2023</v>
      </c>
      <c r="H8" s="12"/>
    </row>
    <row r="9" spans="1:8" x14ac:dyDescent="0.35">
      <c r="A9" s="24">
        <v>3</v>
      </c>
      <c r="B9" s="24" t="s">
        <v>17</v>
      </c>
      <c r="C9" s="24" t="s">
        <v>18</v>
      </c>
      <c r="D9" s="11">
        <v>45296</v>
      </c>
      <c r="E9" s="12" t="s">
        <v>19</v>
      </c>
      <c r="F9" s="12" t="s">
        <v>9</v>
      </c>
      <c r="G9" s="12">
        <v>2021</v>
      </c>
      <c r="H9" s="12" t="s">
        <v>224</v>
      </c>
    </row>
    <row r="10" spans="1:8" x14ac:dyDescent="0.35">
      <c r="A10" s="24"/>
      <c r="B10" s="24"/>
      <c r="C10" s="24"/>
      <c r="D10" s="11"/>
      <c r="E10" s="12"/>
      <c r="F10" s="12"/>
      <c r="G10" s="12">
        <v>2022</v>
      </c>
      <c r="H10" s="12"/>
    </row>
    <row r="11" spans="1:8" x14ac:dyDescent="0.35">
      <c r="A11" s="24"/>
      <c r="B11" s="24"/>
      <c r="C11" s="24"/>
      <c r="D11" s="11"/>
      <c r="E11" s="12"/>
      <c r="F11" s="12"/>
      <c r="G11" s="12">
        <v>2023</v>
      </c>
      <c r="H11" s="12"/>
    </row>
    <row r="12" spans="1:8" x14ac:dyDescent="0.35">
      <c r="A12" s="24">
        <v>4</v>
      </c>
      <c r="B12" s="24" t="s">
        <v>20</v>
      </c>
      <c r="C12" s="24" t="s">
        <v>21</v>
      </c>
      <c r="D12" s="11">
        <v>41711</v>
      </c>
      <c r="E12" s="12" t="s">
        <v>22</v>
      </c>
      <c r="F12" s="12" t="s">
        <v>13</v>
      </c>
      <c r="G12" s="12">
        <v>2021</v>
      </c>
      <c r="H12" s="12"/>
    </row>
    <row r="13" spans="1:8" x14ac:dyDescent="0.35">
      <c r="A13" s="24"/>
      <c r="B13" s="24"/>
      <c r="C13" s="24"/>
      <c r="D13" s="11"/>
      <c r="E13" s="12"/>
      <c r="F13" s="12"/>
      <c r="G13" s="12">
        <v>2022</v>
      </c>
      <c r="H13" s="12"/>
    </row>
    <row r="14" spans="1:8" x14ac:dyDescent="0.35">
      <c r="A14" s="24"/>
      <c r="B14" s="24"/>
      <c r="C14" s="24"/>
      <c r="D14" s="11"/>
      <c r="E14" s="12"/>
      <c r="F14" s="12"/>
      <c r="G14" s="12">
        <v>2023</v>
      </c>
      <c r="H14" s="12"/>
    </row>
    <row r="15" spans="1:8" x14ac:dyDescent="0.35">
      <c r="A15" s="24">
        <v>5</v>
      </c>
      <c r="B15" s="24" t="s">
        <v>26</v>
      </c>
      <c r="C15" s="24" t="s">
        <v>27</v>
      </c>
      <c r="D15" s="11">
        <v>40109</v>
      </c>
      <c r="E15" s="12" t="s">
        <v>28</v>
      </c>
      <c r="F15" s="12" t="s">
        <v>13</v>
      </c>
      <c r="G15" s="12">
        <v>2021</v>
      </c>
      <c r="H15" s="12" t="s">
        <v>224</v>
      </c>
    </row>
    <row r="16" spans="1:8" x14ac:dyDescent="0.35">
      <c r="A16" s="24"/>
      <c r="B16" s="24"/>
      <c r="C16" s="24"/>
      <c r="D16" s="11"/>
      <c r="E16" s="12"/>
      <c r="F16" s="12"/>
      <c r="G16" s="12">
        <v>2022</v>
      </c>
      <c r="H16" s="12"/>
    </row>
    <row r="17" spans="1:8" x14ac:dyDescent="0.35">
      <c r="A17" s="24"/>
      <c r="B17" s="24"/>
      <c r="C17" s="24"/>
      <c r="D17" s="11"/>
      <c r="E17" s="12"/>
      <c r="F17" s="12"/>
      <c r="G17" s="12">
        <v>2023</v>
      </c>
      <c r="H17" s="12"/>
    </row>
    <row r="18" spans="1:8" x14ac:dyDescent="0.35">
      <c r="A18" s="24">
        <v>6</v>
      </c>
      <c r="B18" s="24" t="s">
        <v>29</v>
      </c>
      <c r="C18" s="24" t="s">
        <v>30</v>
      </c>
      <c r="D18" s="11">
        <v>38751</v>
      </c>
      <c r="E18" s="12" t="s">
        <v>31</v>
      </c>
      <c r="F18" s="12" t="s">
        <v>32</v>
      </c>
      <c r="G18" s="12">
        <v>2021</v>
      </c>
      <c r="H18" s="12"/>
    </row>
    <row r="19" spans="1:8" x14ac:dyDescent="0.35">
      <c r="A19" s="24"/>
      <c r="B19" s="24"/>
      <c r="C19" s="24"/>
      <c r="D19" s="11"/>
      <c r="E19" s="12"/>
      <c r="F19" s="12"/>
      <c r="G19" s="12">
        <v>2022</v>
      </c>
      <c r="H19" s="12"/>
    </row>
    <row r="20" spans="1:8" x14ac:dyDescent="0.35">
      <c r="A20" s="24"/>
      <c r="B20" s="24"/>
      <c r="C20" s="24"/>
      <c r="D20" s="11"/>
      <c r="E20" s="12"/>
      <c r="F20" s="12"/>
      <c r="G20" s="12">
        <v>2023</v>
      </c>
      <c r="H20" s="12"/>
    </row>
    <row r="21" spans="1:8" x14ac:dyDescent="0.35">
      <c r="A21" s="24">
        <v>7</v>
      </c>
      <c r="B21" s="24" t="s">
        <v>33</v>
      </c>
      <c r="C21" s="24" t="s">
        <v>34</v>
      </c>
      <c r="D21" s="11">
        <v>42184</v>
      </c>
      <c r="E21" s="12" t="s">
        <v>35</v>
      </c>
      <c r="F21" s="12" t="s">
        <v>9</v>
      </c>
      <c r="G21" s="12">
        <v>2021</v>
      </c>
      <c r="H21" s="12"/>
    </row>
    <row r="22" spans="1:8" x14ac:dyDescent="0.35">
      <c r="A22" s="24"/>
      <c r="B22" s="24"/>
      <c r="C22" s="24"/>
      <c r="D22" s="11"/>
      <c r="E22" s="12"/>
      <c r="F22" s="12"/>
      <c r="G22" s="12">
        <v>2022</v>
      </c>
      <c r="H22" s="12"/>
    </row>
    <row r="23" spans="1:8" x14ac:dyDescent="0.35">
      <c r="A23" s="24"/>
      <c r="B23" s="24"/>
      <c r="C23" s="24"/>
      <c r="D23" s="11"/>
      <c r="E23" s="12"/>
      <c r="F23" s="12"/>
      <c r="G23" s="12">
        <v>2023</v>
      </c>
      <c r="H23" s="12"/>
    </row>
    <row r="24" spans="1:8" x14ac:dyDescent="0.35">
      <c r="A24" s="24">
        <v>8</v>
      </c>
      <c r="B24" s="24" t="s">
        <v>36</v>
      </c>
      <c r="C24" s="24" t="s">
        <v>37</v>
      </c>
      <c r="D24" s="11">
        <v>40882</v>
      </c>
      <c r="E24" s="12" t="s">
        <v>38</v>
      </c>
      <c r="F24" s="12" t="s">
        <v>13</v>
      </c>
      <c r="G24" s="12">
        <v>2021</v>
      </c>
      <c r="H24" s="12"/>
    </row>
    <row r="25" spans="1:8" x14ac:dyDescent="0.35">
      <c r="A25" s="24"/>
      <c r="B25" s="24"/>
      <c r="C25" s="24"/>
      <c r="D25" s="11"/>
      <c r="E25" s="12"/>
      <c r="F25" s="12"/>
      <c r="G25" s="12">
        <v>2022</v>
      </c>
      <c r="H25" s="12"/>
    </row>
    <row r="26" spans="1:8" x14ac:dyDescent="0.35">
      <c r="A26" s="24"/>
      <c r="B26" s="24"/>
      <c r="C26" s="24"/>
      <c r="D26" s="11"/>
      <c r="E26" s="12"/>
      <c r="F26" s="12"/>
      <c r="G26" s="12">
        <v>2023</v>
      </c>
      <c r="H26" s="12"/>
    </row>
    <row r="27" spans="1:8" x14ac:dyDescent="0.35">
      <c r="A27" s="24">
        <v>9</v>
      </c>
      <c r="B27" s="24" t="s">
        <v>39</v>
      </c>
      <c r="C27" s="24" t="s">
        <v>40</v>
      </c>
      <c r="D27" s="11">
        <v>37196</v>
      </c>
      <c r="E27" s="12" t="s">
        <v>41</v>
      </c>
      <c r="F27" s="12" t="s">
        <v>32</v>
      </c>
      <c r="G27" s="12">
        <v>2021</v>
      </c>
      <c r="H27" s="12"/>
    </row>
    <row r="28" spans="1:8" x14ac:dyDescent="0.35">
      <c r="A28" s="24"/>
      <c r="B28" s="24"/>
      <c r="C28" s="24"/>
      <c r="D28" s="11"/>
      <c r="E28" s="12"/>
      <c r="F28" s="12"/>
      <c r="G28" s="12">
        <v>2022</v>
      </c>
      <c r="H28" s="12"/>
    </row>
    <row r="29" spans="1:8" x14ac:dyDescent="0.35">
      <c r="A29" s="24"/>
      <c r="B29" s="24"/>
      <c r="C29" s="24"/>
      <c r="D29" s="11"/>
      <c r="E29" s="12"/>
      <c r="F29" s="12"/>
      <c r="G29" s="12">
        <v>2023</v>
      </c>
      <c r="H29" s="12"/>
    </row>
    <row r="30" spans="1:8" x14ac:dyDescent="0.35">
      <c r="A30" s="24">
        <v>10</v>
      </c>
      <c r="B30" s="24" t="s">
        <v>42</v>
      </c>
      <c r="C30" s="24" t="s">
        <v>43</v>
      </c>
      <c r="D30" s="11">
        <v>34709</v>
      </c>
      <c r="E30" s="12" t="s">
        <v>44</v>
      </c>
      <c r="F30" s="12" t="s">
        <v>13</v>
      </c>
      <c r="G30" s="12">
        <v>2021</v>
      </c>
      <c r="H30" s="12"/>
    </row>
    <row r="31" spans="1:8" x14ac:dyDescent="0.35">
      <c r="A31" s="24"/>
      <c r="B31" s="24"/>
      <c r="C31" s="24"/>
      <c r="D31" s="11"/>
      <c r="E31" s="12"/>
      <c r="F31" s="12"/>
      <c r="G31" s="12">
        <v>2022</v>
      </c>
      <c r="H31" s="12"/>
    </row>
    <row r="32" spans="1:8" x14ac:dyDescent="0.35">
      <c r="A32" s="24"/>
      <c r="B32" s="24"/>
      <c r="C32" s="24"/>
      <c r="D32" s="11"/>
      <c r="E32" s="12"/>
      <c r="F32" s="12"/>
      <c r="G32" s="12">
        <v>2023</v>
      </c>
      <c r="H32" s="12"/>
    </row>
    <row r="33" spans="1:8" x14ac:dyDescent="0.35">
      <c r="A33" s="24">
        <v>11</v>
      </c>
      <c r="B33" s="24" t="s">
        <v>45</v>
      </c>
      <c r="C33" s="24" t="s">
        <v>46</v>
      </c>
      <c r="D33" s="11">
        <v>45419</v>
      </c>
      <c r="E33" s="12" t="s">
        <v>47</v>
      </c>
      <c r="F33" s="12" t="s">
        <v>9</v>
      </c>
      <c r="G33" s="12">
        <v>2021</v>
      </c>
      <c r="H33" s="12" t="s">
        <v>224</v>
      </c>
    </row>
    <row r="34" spans="1:8" x14ac:dyDescent="0.35">
      <c r="A34" s="24"/>
      <c r="B34" s="24"/>
      <c r="C34" s="24"/>
      <c r="D34" s="11"/>
      <c r="E34" s="12"/>
      <c r="F34" s="12"/>
      <c r="G34" s="12">
        <v>2022</v>
      </c>
      <c r="H34" s="12"/>
    </row>
    <row r="35" spans="1:8" x14ac:dyDescent="0.35">
      <c r="A35" s="24"/>
      <c r="B35" s="24"/>
      <c r="C35" s="24"/>
      <c r="D35" s="11"/>
      <c r="E35" s="12"/>
      <c r="F35" s="12"/>
      <c r="G35" s="12">
        <v>2023</v>
      </c>
      <c r="H35" s="12"/>
    </row>
    <row r="36" spans="1:8" x14ac:dyDescent="0.35">
      <c r="A36" s="24">
        <v>12</v>
      </c>
      <c r="B36" s="24" t="s">
        <v>48</v>
      </c>
      <c r="C36" s="24" t="s">
        <v>49</v>
      </c>
      <c r="D36" s="11">
        <v>39435</v>
      </c>
      <c r="E36" s="12" t="s">
        <v>50</v>
      </c>
      <c r="F36" s="12" t="s">
        <v>9</v>
      </c>
      <c r="G36" s="12">
        <v>2021</v>
      </c>
      <c r="H36" s="12"/>
    </row>
    <row r="37" spans="1:8" x14ac:dyDescent="0.35">
      <c r="A37" s="24"/>
      <c r="B37" s="24"/>
      <c r="C37" s="24"/>
      <c r="D37" s="11"/>
      <c r="E37" s="12"/>
      <c r="F37" s="12"/>
      <c r="G37" s="12">
        <v>2022</v>
      </c>
      <c r="H37" s="12"/>
    </row>
    <row r="38" spans="1:8" x14ac:dyDescent="0.35">
      <c r="A38" s="24"/>
      <c r="B38" s="24"/>
      <c r="C38" s="24"/>
      <c r="D38" s="11"/>
      <c r="E38" s="12"/>
      <c r="F38" s="12"/>
      <c r="G38" s="12">
        <v>2023</v>
      </c>
      <c r="H38" s="12"/>
    </row>
    <row r="39" spans="1:8" x14ac:dyDescent="0.35">
      <c r="A39" s="24">
        <v>13</v>
      </c>
      <c r="B39" s="24" t="s">
        <v>51</v>
      </c>
      <c r="C39" s="24" t="s">
        <v>52</v>
      </c>
      <c r="D39" s="11">
        <v>38624</v>
      </c>
      <c r="E39" s="12" t="s">
        <v>53</v>
      </c>
      <c r="F39" s="12" t="s">
        <v>13</v>
      </c>
      <c r="G39" s="12">
        <v>2021</v>
      </c>
      <c r="H39" s="12"/>
    </row>
    <row r="40" spans="1:8" x14ac:dyDescent="0.35">
      <c r="A40" s="24"/>
      <c r="B40" s="24"/>
      <c r="C40" s="24"/>
      <c r="D40" s="11"/>
      <c r="E40" s="12"/>
      <c r="F40" s="12"/>
      <c r="G40" s="12">
        <v>2022</v>
      </c>
      <c r="H40" s="12"/>
    </row>
    <row r="41" spans="1:8" x14ac:dyDescent="0.35">
      <c r="A41" s="24"/>
      <c r="B41" s="24"/>
      <c r="C41" s="24"/>
      <c r="D41" s="11"/>
      <c r="E41" s="12"/>
      <c r="F41" s="12"/>
      <c r="G41" s="12">
        <v>2023</v>
      </c>
      <c r="H41" s="12"/>
    </row>
    <row r="42" spans="1:8" x14ac:dyDescent="0.35">
      <c r="A42" s="24">
        <v>14</v>
      </c>
      <c r="B42" s="24" t="s">
        <v>57</v>
      </c>
      <c r="C42" s="24" t="s">
        <v>58</v>
      </c>
      <c r="D42" s="11">
        <v>39050</v>
      </c>
      <c r="E42" s="12" t="s">
        <v>59</v>
      </c>
      <c r="F42" s="12" t="s">
        <v>32</v>
      </c>
      <c r="G42" s="12">
        <v>2021</v>
      </c>
      <c r="H42" s="12"/>
    </row>
    <row r="43" spans="1:8" x14ac:dyDescent="0.35">
      <c r="A43" s="24"/>
      <c r="B43" s="24"/>
      <c r="C43" s="24"/>
      <c r="D43" s="11"/>
      <c r="E43" s="12"/>
      <c r="F43" s="12"/>
      <c r="G43" s="12">
        <v>2022</v>
      </c>
      <c r="H43" s="12"/>
    </row>
    <row r="44" spans="1:8" x14ac:dyDescent="0.35">
      <c r="A44" s="24"/>
      <c r="B44" s="24"/>
      <c r="C44" s="24"/>
      <c r="D44" s="11"/>
      <c r="E44" s="12"/>
      <c r="F44" s="12"/>
      <c r="G44" s="12">
        <v>2023</v>
      </c>
      <c r="H44" s="12"/>
    </row>
    <row r="45" spans="1:8" x14ac:dyDescent="0.35">
      <c r="A45" s="24">
        <v>15</v>
      </c>
      <c r="B45" s="24" t="s">
        <v>60</v>
      </c>
      <c r="C45" s="24" t="s">
        <v>61</v>
      </c>
      <c r="D45" s="11">
        <v>43199</v>
      </c>
      <c r="E45" s="12" t="s">
        <v>62</v>
      </c>
      <c r="F45" s="12" t="s">
        <v>9</v>
      </c>
      <c r="G45" s="12">
        <v>2021</v>
      </c>
      <c r="H45" s="12"/>
    </row>
    <row r="46" spans="1:8" x14ac:dyDescent="0.35">
      <c r="A46" s="24"/>
      <c r="B46" s="24"/>
      <c r="C46" s="24"/>
      <c r="D46" s="11"/>
      <c r="E46" s="12"/>
      <c r="F46" s="12"/>
      <c r="G46" s="12">
        <v>2022</v>
      </c>
      <c r="H46" s="12"/>
    </row>
    <row r="47" spans="1:8" x14ac:dyDescent="0.35">
      <c r="A47" s="24"/>
      <c r="B47" s="24"/>
      <c r="C47" s="24"/>
      <c r="D47" s="11"/>
      <c r="E47" s="12"/>
      <c r="F47" s="12"/>
      <c r="G47" s="12">
        <v>2023</v>
      </c>
      <c r="H47" s="12"/>
    </row>
    <row r="48" spans="1:8" x14ac:dyDescent="0.35">
      <c r="A48" s="24">
        <v>16</v>
      </c>
      <c r="B48" s="24" t="s">
        <v>63</v>
      </c>
      <c r="C48" s="24" t="s">
        <v>64</v>
      </c>
      <c r="D48" s="11">
        <v>43018</v>
      </c>
      <c r="E48" s="12" t="s">
        <v>65</v>
      </c>
      <c r="F48" s="12" t="s">
        <v>32</v>
      </c>
      <c r="G48" s="12">
        <v>2021</v>
      </c>
      <c r="H48" s="12"/>
    </row>
    <row r="49" spans="1:8" x14ac:dyDescent="0.35">
      <c r="A49" s="24"/>
      <c r="B49" s="24"/>
      <c r="C49" s="24"/>
      <c r="D49" s="11"/>
      <c r="E49" s="12"/>
      <c r="F49" s="12"/>
      <c r="G49" s="12">
        <v>2022</v>
      </c>
      <c r="H49" s="12"/>
    </row>
    <row r="50" spans="1:8" x14ac:dyDescent="0.35">
      <c r="A50" s="24"/>
      <c r="B50" s="24"/>
      <c r="C50" s="24"/>
      <c r="D50" s="11"/>
      <c r="E50" s="12"/>
      <c r="F50" s="12"/>
      <c r="G50" s="12">
        <v>2023</v>
      </c>
      <c r="H50" s="12"/>
    </row>
    <row r="51" spans="1:8" x14ac:dyDescent="0.35">
      <c r="A51" s="24">
        <v>17</v>
      </c>
      <c r="B51" s="24" t="s">
        <v>66</v>
      </c>
      <c r="C51" s="24" t="s">
        <v>67</v>
      </c>
      <c r="D51" s="11">
        <v>40366</v>
      </c>
      <c r="E51" s="12" t="s">
        <v>68</v>
      </c>
      <c r="F51" s="12" t="s">
        <v>9</v>
      </c>
      <c r="G51" s="12">
        <v>2021</v>
      </c>
      <c r="H51" s="12"/>
    </row>
    <row r="52" spans="1:8" x14ac:dyDescent="0.35">
      <c r="A52" s="24"/>
      <c r="B52" s="24"/>
      <c r="C52" s="24"/>
      <c r="D52" s="11"/>
      <c r="E52" s="12"/>
      <c r="F52" s="12"/>
      <c r="G52" s="12">
        <v>2022</v>
      </c>
      <c r="H52" s="12"/>
    </row>
    <row r="53" spans="1:8" x14ac:dyDescent="0.35">
      <c r="A53" s="24"/>
      <c r="B53" s="24"/>
      <c r="C53" s="24"/>
      <c r="D53" s="11"/>
      <c r="E53" s="12"/>
      <c r="F53" s="12"/>
      <c r="G53" s="12">
        <v>2023</v>
      </c>
      <c r="H53" s="12"/>
    </row>
    <row r="54" spans="1:8" x14ac:dyDescent="0.35">
      <c r="A54" s="24">
        <v>18</v>
      </c>
      <c r="B54" s="24" t="s">
        <v>69</v>
      </c>
      <c r="C54" s="24" t="s">
        <v>70</v>
      </c>
      <c r="D54" s="11">
        <v>38089</v>
      </c>
      <c r="E54" s="12" t="s">
        <v>71</v>
      </c>
      <c r="F54" s="12" t="s">
        <v>32</v>
      </c>
      <c r="G54" s="12">
        <v>2021</v>
      </c>
      <c r="H54" s="12"/>
    </row>
    <row r="55" spans="1:8" x14ac:dyDescent="0.35">
      <c r="A55" s="24"/>
      <c r="B55" s="24"/>
      <c r="C55" s="24"/>
      <c r="D55" s="11"/>
      <c r="E55" s="12"/>
      <c r="F55" s="12"/>
      <c r="G55" s="12">
        <v>2022</v>
      </c>
      <c r="H55" s="12"/>
    </row>
    <row r="56" spans="1:8" x14ac:dyDescent="0.35">
      <c r="A56" s="24"/>
      <c r="B56" s="24"/>
      <c r="C56" s="24"/>
      <c r="D56" s="11"/>
      <c r="E56" s="12"/>
      <c r="F56" s="12"/>
      <c r="G56" s="12">
        <v>2023</v>
      </c>
      <c r="H56" s="12"/>
    </row>
    <row r="57" spans="1:8" x14ac:dyDescent="0.35">
      <c r="A57" s="24">
        <v>19</v>
      </c>
      <c r="B57" s="24" t="s">
        <v>72</v>
      </c>
      <c r="C57" s="24" t="s">
        <v>73</v>
      </c>
      <c r="D57" s="11">
        <v>41152</v>
      </c>
      <c r="E57" s="12" t="s">
        <v>74</v>
      </c>
      <c r="F57" s="12" t="s">
        <v>32</v>
      </c>
      <c r="G57" s="12">
        <v>2021</v>
      </c>
      <c r="H57" s="12"/>
    </row>
    <row r="58" spans="1:8" x14ac:dyDescent="0.35">
      <c r="A58" s="24"/>
      <c r="B58" s="24"/>
      <c r="C58" s="24"/>
      <c r="D58" s="11"/>
      <c r="E58" s="12"/>
      <c r="F58" s="12"/>
      <c r="G58" s="12">
        <v>2022</v>
      </c>
      <c r="H58" s="12"/>
    </row>
    <row r="59" spans="1:8" x14ac:dyDescent="0.35">
      <c r="A59" s="24"/>
      <c r="B59" s="24"/>
      <c r="C59" s="24"/>
      <c r="D59" s="11"/>
      <c r="E59" s="12"/>
      <c r="F59" s="12"/>
      <c r="G59" s="12">
        <v>2023</v>
      </c>
      <c r="H59" s="12"/>
    </row>
    <row r="60" spans="1:8" x14ac:dyDescent="0.35">
      <c r="A60" s="24">
        <v>20</v>
      </c>
      <c r="B60" s="24" t="s">
        <v>75</v>
      </c>
      <c r="C60" s="24" t="s">
        <v>76</v>
      </c>
      <c r="D60" s="11">
        <v>42348</v>
      </c>
      <c r="E60" s="12" t="s">
        <v>77</v>
      </c>
      <c r="F60" s="12" t="s">
        <v>9</v>
      </c>
      <c r="G60" s="12">
        <v>2021</v>
      </c>
      <c r="H60" s="12"/>
    </row>
    <row r="61" spans="1:8" x14ac:dyDescent="0.35">
      <c r="A61" s="24"/>
      <c r="B61" s="24"/>
      <c r="C61" s="24"/>
      <c r="D61" s="11"/>
      <c r="E61" s="12"/>
      <c r="F61" s="12"/>
      <c r="G61" s="12">
        <v>2022</v>
      </c>
      <c r="H61" s="12"/>
    </row>
    <row r="62" spans="1:8" x14ac:dyDescent="0.35">
      <c r="A62" s="24"/>
      <c r="B62" s="24"/>
      <c r="C62" s="24"/>
      <c r="D62" s="11"/>
      <c r="E62" s="12"/>
      <c r="F62" s="12"/>
      <c r="G62" s="12">
        <v>2023</v>
      </c>
      <c r="H62" s="12"/>
    </row>
    <row r="63" spans="1:8" x14ac:dyDescent="0.35">
      <c r="A63" s="24">
        <v>21</v>
      </c>
      <c r="B63" s="24" t="s">
        <v>81</v>
      </c>
      <c r="C63" s="24" t="s">
        <v>82</v>
      </c>
      <c r="D63" s="11">
        <v>43290</v>
      </c>
      <c r="E63" s="12" t="s">
        <v>83</v>
      </c>
      <c r="F63" s="12" t="s">
        <v>13</v>
      </c>
      <c r="G63" s="12">
        <v>2021</v>
      </c>
      <c r="H63" s="12"/>
    </row>
    <row r="64" spans="1:8" x14ac:dyDescent="0.35">
      <c r="A64" s="24"/>
      <c r="B64" s="24"/>
      <c r="C64" s="24"/>
      <c r="D64" s="11"/>
      <c r="E64" s="12"/>
      <c r="F64" s="12"/>
      <c r="G64" s="12">
        <v>2022</v>
      </c>
      <c r="H64" s="12"/>
    </row>
    <row r="65" spans="1:8" x14ac:dyDescent="0.35">
      <c r="A65" s="24"/>
      <c r="B65" s="24"/>
      <c r="C65" s="24"/>
      <c r="D65" s="11"/>
      <c r="E65" s="12"/>
      <c r="F65" s="12"/>
      <c r="G65" s="12">
        <v>2023</v>
      </c>
      <c r="H65" s="12"/>
    </row>
    <row r="66" spans="1:8" x14ac:dyDescent="0.35">
      <c r="A66" s="24">
        <v>22</v>
      </c>
      <c r="B66" s="24" t="s">
        <v>84</v>
      </c>
      <c r="C66" s="24" t="s">
        <v>85</v>
      </c>
      <c r="D66" s="11">
        <v>43091</v>
      </c>
      <c r="E66" s="12" t="s">
        <v>86</v>
      </c>
      <c r="F66" s="12" t="s">
        <v>9</v>
      </c>
      <c r="G66" s="12">
        <v>2021</v>
      </c>
      <c r="H66" s="12"/>
    </row>
    <row r="67" spans="1:8" x14ac:dyDescent="0.35">
      <c r="A67" s="24"/>
      <c r="B67" s="24"/>
      <c r="C67" s="24"/>
      <c r="D67" s="11"/>
      <c r="E67" s="12"/>
      <c r="F67" s="12"/>
      <c r="G67" s="12">
        <v>2022</v>
      </c>
      <c r="H67" s="12"/>
    </row>
    <row r="68" spans="1:8" x14ac:dyDescent="0.35">
      <c r="A68" s="24"/>
      <c r="B68" s="24"/>
      <c r="C68" s="24"/>
      <c r="D68" s="11"/>
      <c r="E68" s="12"/>
      <c r="F68" s="12"/>
      <c r="G68" s="12">
        <v>2023</v>
      </c>
      <c r="H68" s="12"/>
    </row>
    <row r="69" spans="1:8" x14ac:dyDescent="0.35">
      <c r="A69" s="24">
        <v>23</v>
      </c>
      <c r="B69" s="24" t="s">
        <v>87</v>
      </c>
      <c r="C69" s="24" t="s">
        <v>88</v>
      </c>
      <c r="D69" s="11">
        <v>34626</v>
      </c>
      <c r="E69" s="12" t="s">
        <v>89</v>
      </c>
      <c r="F69" s="12" t="s">
        <v>13</v>
      </c>
      <c r="G69" s="12">
        <v>2021</v>
      </c>
      <c r="H69" s="12"/>
    </row>
    <row r="70" spans="1:8" x14ac:dyDescent="0.35">
      <c r="A70" s="24"/>
      <c r="B70" s="24"/>
      <c r="C70" s="24"/>
      <c r="D70" s="11"/>
      <c r="E70" s="12"/>
      <c r="F70" s="12"/>
      <c r="G70" s="12">
        <v>2022</v>
      </c>
      <c r="H70" s="12"/>
    </row>
    <row r="71" spans="1:8" x14ac:dyDescent="0.35">
      <c r="A71" s="24"/>
      <c r="B71" s="24"/>
      <c r="C71" s="24"/>
      <c r="D71" s="11"/>
      <c r="E71" s="12"/>
      <c r="F71" s="12"/>
      <c r="G71" s="12">
        <v>2023</v>
      </c>
      <c r="H71" s="12"/>
    </row>
    <row r="72" spans="1:8" x14ac:dyDescent="0.35">
      <c r="A72" s="24">
        <v>24</v>
      </c>
      <c r="B72" s="24" t="s">
        <v>90</v>
      </c>
      <c r="C72" s="24" t="s">
        <v>91</v>
      </c>
      <c r="D72" s="11">
        <v>43601</v>
      </c>
      <c r="E72" s="12" t="s">
        <v>92</v>
      </c>
      <c r="F72" s="12" t="s">
        <v>32</v>
      </c>
      <c r="G72" s="12">
        <v>2021</v>
      </c>
      <c r="H72" s="12"/>
    </row>
    <row r="73" spans="1:8" x14ac:dyDescent="0.35">
      <c r="A73" s="24"/>
      <c r="B73" s="24"/>
      <c r="C73" s="24"/>
      <c r="D73" s="11"/>
      <c r="E73" s="12"/>
      <c r="F73" s="12"/>
      <c r="G73" s="12">
        <v>2022</v>
      </c>
      <c r="H73" s="12"/>
    </row>
    <row r="74" spans="1:8" x14ac:dyDescent="0.35">
      <c r="A74" s="24"/>
      <c r="B74" s="24"/>
      <c r="C74" s="24"/>
      <c r="D74" s="11"/>
      <c r="E74" s="12"/>
      <c r="F74" s="12"/>
      <c r="G74" s="12">
        <v>2023</v>
      </c>
      <c r="H74" s="12"/>
    </row>
    <row r="75" spans="1:8" x14ac:dyDescent="0.35">
      <c r="A75" s="24">
        <v>25</v>
      </c>
      <c r="B75" s="24" t="s">
        <v>93</v>
      </c>
      <c r="C75" s="24" t="s">
        <v>94</v>
      </c>
      <c r="D75" s="11">
        <v>39420</v>
      </c>
      <c r="E75" s="12" t="s">
        <v>95</v>
      </c>
      <c r="F75" s="12" t="s">
        <v>13</v>
      </c>
      <c r="G75" s="12">
        <v>2021</v>
      </c>
      <c r="H75" s="12"/>
    </row>
    <row r="76" spans="1:8" x14ac:dyDescent="0.35">
      <c r="A76" s="24"/>
      <c r="B76" s="24"/>
      <c r="C76" s="24"/>
      <c r="D76" s="11"/>
      <c r="E76" s="12"/>
      <c r="F76" s="12"/>
      <c r="G76" s="12">
        <v>2022</v>
      </c>
      <c r="H76" s="12"/>
    </row>
    <row r="77" spans="1:8" x14ac:dyDescent="0.35">
      <c r="A77" s="24"/>
      <c r="B77" s="24"/>
      <c r="C77" s="24"/>
      <c r="D77" s="11"/>
      <c r="E77" s="12"/>
      <c r="F77" s="12"/>
      <c r="G77" s="12">
        <v>2023</v>
      </c>
      <c r="H77" s="12"/>
    </row>
    <row r="78" spans="1:8" x14ac:dyDescent="0.35">
      <c r="A78" s="24">
        <v>26</v>
      </c>
      <c r="B78" s="24" t="s">
        <v>96</v>
      </c>
      <c r="C78" s="24" t="s">
        <v>97</v>
      </c>
      <c r="D78" s="11">
        <v>39398</v>
      </c>
      <c r="E78" s="12" t="s">
        <v>98</v>
      </c>
      <c r="F78" s="12" t="s">
        <v>13</v>
      </c>
      <c r="G78" s="12">
        <v>2021</v>
      </c>
      <c r="H78" s="12"/>
    </row>
    <row r="79" spans="1:8" x14ac:dyDescent="0.35">
      <c r="A79" s="24"/>
      <c r="B79" s="24"/>
      <c r="C79" s="24"/>
      <c r="D79" s="11"/>
      <c r="E79" s="12"/>
      <c r="F79" s="12"/>
      <c r="G79" s="12">
        <v>2022</v>
      </c>
      <c r="H79" s="12"/>
    </row>
    <row r="80" spans="1:8" x14ac:dyDescent="0.35">
      <c r="A80" s="24"/>
      <c r="B80" s="24"/>
      <c r="C80" s="24"/>
      <c r="D80" s="11"/>
      <c r="E80" s="12"/>
      <c r="F80" s="12"/>
      <c r="G80" s="12">
        <v>2023</v>
      </c>
      <c r="H80" s="12"/>
    </row>
    <row r="81" spans="1:8" x14ac:dyDescent="0.35">
      <c r="A81" s="24">
        <v>27</v>
      </c>
      <c r="B81" s="24" t="s">
        <v>99</v>
      </c>
      <c r="C81" s="24" t="s">
        <v>100</v>
      </c>
      <c r="D81" s="11">
        <v>34688</v>
      </c>
      <c r="E81" s="12" t="s">
        <v>101</v>
      </c>
      <c r="F81" s="12" t="s">
        <v>32</v>
      </c>
      <c r="G81" s="12">
        <v>2021</v>
      </c>
      <c r="H81" s="12"/>
    </row>
    <row r="82" spans="1:8" x14ac:dyDescent="0.35">
      <c r="A82" s="24"/>
      <c r="B82" s="24"/>
      <c r="C82" s="24"/>
      <c r="D82" s="11"/>
      <c r="E82" s="12"/>
      <c r="F82" s="12"/>
      <c r="G82" s="12">
        <v>2022</v>
      </c>
      <c r="H82" s="12"/>
    </row>
    <row r="83" spans="1:8" x14ac:dyDescent="0.35">
      <c r="A83" s="24"/>
      <c r="B83" s="24"/>
      <c r="C83" s="24"/>
      <c r="D83" s="11"/>
      <c r="E83" s="12"/>
      <c r="F83" s="12"/>
      <c r="G83" s="12">
        <v>2023</v>
      </c>
      <c r="H83" s="12"/>
    </row>
    <row r="84" spans="1:8" x14ac:dyDescent="0.35">
      <c r="A84" s="24">
        <v>28</v>
      </c>
      <c r="B84" s="24" t="s">
        <v>102</v>
      </c>
      <c r="C84" s="24" t="s">
        <v>103</v>
      </c>
      <c r="D84" s="11">
        <v>36581</v>
      </c>
      <c r="E84" s="12" t="s">
        <v>104</v>
      </c>
      <c r="F84" s="12" t="s">
        <v>32</v>
      </c>
      <c r="G84" s="12">
        <v>2021</v>
      </c>
      <c r="H84" s="12"/>
    </row>
    <row r="85" spans="1:8" x14ac:dyDescent="0.35">
      <c r="A85" s="24"/>
      <c r="B85" s="24"/>
      <c r="C85" s="24"/>
      <c r="D85" s="11"/>
      <c r="E85" s="12"/>
      <c r="F85" s="12"/>
      <c r="G85" s="12">
        <v>2022</v>
      </c>
      <c r="H85" s="12"/>
    </row>
    <row r="86" spans="1:8" x14ac:dyDescent="0.35">
      <c r="A86" s="24"/>
      <c r="B86" s="24"/>
      <c r="C86" s="24"/>
      <c r="D86" s="11"/>
      <c r="E86" s="12"/>
      <c r="F86" s="12"/>
      <c r="G86" s="12">
        <v>2023</v>
      </c>
      <c r="H86" s="12"/>
    </row>
    <row r="87" spans="1:8" x14ac:dyDescent="0.35">
      <c r="A87" s="24">
        <v>29</v>
      </c>
      <c r="B87" s="24" t="s">
        <v>105</v>
      </c>
      <c r="C87" s="24" t="s">
        <v>106</v>
      </c>
      <c r="D87" s="11">
        <v>43710</v>
      </c>
      <c r="E87" s="12" t="s">
        <v>107</v>
      </c>
      <c r="F87" s="12" t="s">
        <v>13</v>
      </c>
      <c r="G87" s="12">
        <v>2021</v>
      </c>
      <c r="H87" s="12"/>
    </row>
    <row r="88" spans="1:8" x14ac:dyDescent="0.35">
      <c r="A88" s="24"/>
      <c r="B88" s="24"/>
      <c r="C88" s="24"/>
      <c r="D88" s="11"/>
      <c r="E88" s="12"/>
      <c r="F88" s="12"/>
      <c r="G88" s="12">
        <v>2022</v>
      </c>
      <c r="H88" s="12"/>
    </row>
    <row r="89" spans="1:8" x14ac:dyDescent="0.35">
      <c r="A89" s="24"/>
      <c r="B89" s="24"/>
      <c r="C89" s="24"/>
      <c r="D89" s="11"/>
      <c r="E89" s="12"/>
      <c r="F89" s="12"/>
      <c r="G89" s="12">
        <v>2023</v>
      </c>
      <c r="H89" s="12"/>
    </row>
    <row r="90" spans="1:8" x14ac:dyDescent="0.35">
      <c r="A90" s="24">
        <v>30</v>
      </c>
      <c r="B90" s="24" t="s">
        <v>117</v>
      </c>
      <c r="C90" s="24" t="s">
        <v>118</v>
      </c>
      <c r="D90" s="11">
        <v>43116</v>
      </c>
      <c r="E90" s="12" t="s">
        <v>119</v>
      </c>
      <c r="F90" s="12" t="s">
        <v>9</v>
      </c>
      <c r="G90" s="12">
        <v>2021</v>
      </c>
      <c r="H90" s="12"/>
    </row>
    <row r="91" spans="1:8" x14ac:dyDescent="0.35">
      <c r="A91" s="24"/>
      <c r="B91" s="24"/>
      <c r="C91" s="24"/>
      <c r="D91" s="11"/>
      <c r="E91" s="12"/>
      <c r="F91" s="12"/>
      <c r="G91" s="12">
        <v>2022</v>
      </c>
      <c r="H91" s="12"/>
    </row>
    <row r="92" spans="1:8" x14ac:dyDescent="0.35">
      <c r="A92" s="24"/>
      <c r="B92" s="24"/>
      <c r="C92" s="24"/>
      <c r="D92" s="11"/>
      <c r="E92" s="12"/>
      <c r="F92" s="12"/>
      <c r="G92" s="12">
        <v>2023</v>
      </c>
      <c r="H92" s="12"/>
    </row>
    <row r="93" spans="1:8" x14ac:dyDescent="0.35">
      <c r="A93" s="24">
        <v>31</v>
      </c>
      <c r="B93" s="24" t="s">
        <v>120</v>
      </c>
      <c r="C93" s="24" t="s">
        <v>121</v>
      </c>
      <c r="D93" s="11">
        <v>41792</v>
      </c>
      <c r="E93" s="12" t="s">
        <v>122</v>
      </c>
      <c r="F93" s="12" t="s">
        <v>9</v>
      </c>
      <c r="G93" s="12">
        <v>2021</v>
      </c>
      <c r="H93" s="12"/>
    </row>
    <row r="94" spans="1:8" x14ac:dyDescent="0.35">
      <c r="A94" s="24"/>
      <c r="B94" s="24"/>
      <c r="C94" s="24"/>
      <c r="D94" s="11"/>
      <c r="E94" s="12"/>
      <c r="F94" s="12"/>
      <c r="G94" s="12">
        <v>2022</v>
      </c>
      <c r="H94" s="12"/>
    </row>
    <row r="95" spans="1:8" x14ac:dyDescent="0.35">
      <c r="A95" s="24"/>
      <c r="B95" s="24"/>
      <c r="C95" s="24"/>
      <c r="D95" s="11"/>
      <c r="E95" s="12"/>
      <c r="F95" s="12"/>
      <c r="G95" s="12">
        <v>2023</v>
      </c>
      <c r="H95" s="12"/>
    </row>
    <row r="96" spans="1:8" x14ac:dyDescent="0.35">
      <c r="A96" s="24">
        <v>32</v>
      </c>
      <c r="B96" s="24" t="s">
        <v>123</v>
      </c>
      <c r="C96" s="24" t="s">
        <v>124</v>
      </c>
      <c r="D96" s="11">
        <v>45302</v>
      </c>
      <c r="E96" s="12" t="s">
        <v>125</v>
      </c>
      <c r="F96" s="12" t="s">
        <v>126</v>
      </c>
      <c r="G96" s="12">
        <v>2021</v>
      </c>
      <c r="H96" s="12" t="s">
        <v>224</v>
      </c>
    </row>
    <row r="97" spans="1:8" x14ac:dyDescent="0.35">
      <c r="A97" s="24"/>
      <c r="B97" s="24"/>
      <c r="C97" s="24"/>
      <c r="D97" s="11"/>
      <c r="E97" s="12"/>
      <c r="F97" s="12"/>
      <c r="G97" s="12">
        <v>2022</v>
      </c>
      <c r="H97" s="12"/>
    </row>
    <row r="98" spans="1:8" x14ac:dyDescent="0.35">
      <c r="A98" s="24"/>
      <c r="B98" s="24"/>
      <c r="C98" s="24"/>
      <c r="D98" s="11"/>
      <c r="E98" s="12"/>
      <c r="F98" s="12"/>
      <c r="G98" s="12">
        <v>2023</v>
      </c>
      <c r="H98" s="12"/>
    </row>
    <row r="99" spans="1:8" x14ac:dyDescent="0.35">
      <c r="A99" s="24">
        <v>33</v>
      </c>
      <c r="B99" s="24" t="s">
        <v>127</v>
      </c>
      <c r="C99" s="24" t="s">
        <v>128</v>
      </c>
      <c r="D99" s="11">
        <v>37090</v>
      </c>
      <c r="E99" s="12" t="s">
        <v>129</v>
      </c>
      <c r="F99" s="12" t="s">
        <v>32</v>
      </c>
      <c r="G99" s="12">
        <v>2021</v>
      </c>
      <c r="H99" s="12"/>
    </row>
    <row r="100" spans="1:8" x14ac:dyDescent="0.35">
      <c r="A100" s="24"/>
      <c r="B100" s="24"/>
      <c r="C100" s="24"/>
      <c r="D100" s="11"/>
      <c r="E100" s="12"/>
      <c r="F100" s="12"/>
      <c r="G100" s="12">
        <v>2022</v>
      </c>
      <c r="H100" s="12"/>
    </row>
    <row r="101" spans="1:8" x14ac:dyDescent="0.35">
      <c r="A101" s="24"/>
      <c r="B101" s="24"/>
      <c r="C101" s="24"/>
      <c r="D101" s="11"/>
      <c r="E101" s="12"/>
      <c r="F101" s="12"/>
      <c r="G101" s="12">
        <v>2023</v>
      </c>
      <c r="H101" s="12"/>
    </row>
    <row r="102" spans="1:8" x14ac:dyDescent="0.35">
      <c r="A102" s="24">
        <v>34</v>
      </c>
      <c r="B102" s="24" t="s">
        <v>133</v>
      </c>
      <c r="C102" s="24" t="s">
        <v>134</v>
      </c>
      <c r="D102" s="11">
        <v>42921</v>
      </c>
      <c r="E102" s="12" t="s">
        <v>135</v>
      </c>
      <c r="F102" s="12" t="s">
        <v>9</v>
      </c>
      <c r="G102" s="12">
        <v>2021</v>
      </c>
      <c r="H102" s="12"/>
    </row>
    <row r="103" spans="1:8" x14ac:dyDescent="0.35">
      <c r="A103" s="24"/>
      <c r="B103" s="24"/>
      <c r="C103" s="24"/>
      <c r="D103" s="11"/>
      <c r="E103" s="12"/>
      <c r="F103" s="12"/>
      <c r="G103" s="12">
        <v>2022</v>
      </c>
      <c r="H103" s="12"/>
    </row>
    <row r="104" spans="1:8" x14ac:dyDescent="0.35">
      <c r="A104" s="24"/>
      <c r="B104" s="24"/>
      <c r="C104" s="24"/>
      <c r="D104" s="11"/>
      <c r="E104" s="12"/>
      <c r="F104" s="12"/>
      <c r="G104" s="12">
        <v>2023</v>
      </c>
      <c r="H104" s="12"/>
    </row>
    <row r="105" spans="1:8" x14ac:dyDescent="0.35">
      <c r="A105" s="24">
        <v>35</v>
      </c>
      <c r="B105" s="24" t="s">
        <v>139</v>
      </c>
      <c r="C105" s="24" t="s">
        <v>140</v>
      </c>
      <c r="D105" s="11">
        <v>43565</v>
      </c>
      <c r="E105" s="12" t="s">
        <v>141</v>
      </c>
      <c r="F105" s="12" t="s">
        <v>32</v>
      </c>
      <c r="G105" s="12">
        <v>2021</v>
      </c>
      <c r="H105" s="12"/>
    </row>
    <row r="106" spans="1:8" x14ac:dyDescent="0.35">
      <c r="A106" s="24"/>
      <c r="B106" s="24"/>
      <c r="C106" s="24"/>
      <c r="D106" s="11"/>
      <c r="E106" s="12"/>
      <c r="F106" s="12"/>
      <c r="G106" s="12">
        <v>2022</v>
      </c>
      <c r="H106" s="12"/>
    </row>
    <row r="107" spans="1:8" x14ac:dyDescent="0.35">
      <c r="A107" s="24"/>
      <c r="B107" s="24"/>
      <c r="C107" s="24"/>
      <c r="D107" s="11"/>
      <c r="E107" s="12"/>
      <c r="F107" s="12"/>
      <c r="G107" s="12">
        <v>2023</v>
      </c>
      <c r="H107" s="12"/>
    </row>
    <row r="108" spans="1:8" x14ac:dyDescent="0.35">
      <c r="A108" s="24">
        <v>36</v>
      </c>
      <c r="B108" s="24" t="s">
        <v>142</v>
      </c>
      <c r="C108" s="24" t="s">
        <v>143</v>
      </c>
      <c r="D108" s="11">
        <v>42410</v>
      </c>
      <c r="E108" s="12" t="s">
        <v>144</v>
      </c>
      <c r="F108" s="12" t="s">
        <v>32</v>
      </c>
      <c r="G108" s="12">
        <v>2021</v>
      </c>
      <c r="H108" s="12" t="s">
        <v>224</v>
      </c>
    </row>
    <row r="109" spans="1:8" x14ac:dyDescent="0.35">
      <c r="A109" s="24"/>
      <c r="B109" s="24"/>
      <c r="C109" s="24"/>
      <c r="D109" s="11"/>
      <c r="E109" s="12"/>
      <c r="F109" s="12"/>
      <c r="G109" s="12">
        <v>2022</v>
      </c>
      <c r="H109" s="12" t="s">
        <v>224</v>
      </c>
    </row>
    <row r="110" spans="1:8" x14ac:dyDescent="0.35">
      <c r="A110" s="24"/>
      <c r="B110" s="24"/>
      <c r="C110" s="24"/>
      <c r="D110" s="11"/>
      <c r="E110" s="12"/>
      <c r="F110" s="12"/>
      <c r="G110" s="12">
        <v>2023</v>
      </c>
      <c r="H110" s="12" t="s">
        <v>224</v>
      </c>
    </row>
    <row r="111" spans="1:8" x14ac:dyDescent="0.35">
      <c r="A111" s="24">
        <v>37</v>
      </c>
      <c r="B111" s="24" t="s">
        <v>145</v>
      </c>
      <c r="C111" s="24" t="s">
        <v>146</v>
      </c>
      <c r="D111" s="11">
        <v>41452</v>
      </c>
      <c r="E111" s="12" t="s">
        <v>147</v>
      </c>
      <c r="F111" s="12" t="s">
        <v>9</v>
      </c>
      <c r="G111" s="12">
        <v>2021</v>
      </c>
      <c r="H111" s="12"/>
    </row>
    <row r="112" spans="1:8" x14ac:dyDescent="0.35">
      <c r="A112" s="24"/>
      <c r="B112" s="24"/>
      <c r="C112" s="24"/>
      <c r="D112" s="11"/>
      <c r="E112" s="12"/>
      <c r="F112" s="12"/>
      <c r="G112" s="12">
        <v>2022</v>
      </c>
      <c r="H112" s="12"/>
    </row>
    <row r="113" spans="1:8" x14ac:dyDescent="0.35">
      <c r="A113" s="24"/>
      <c r="B113" s="24"/>
      <c r="C113" s="24"/>
      <c r="D113" s="11"/>
      <c r="E113" s="12"/>
      <c r="F113" s="12"/>
      <c r="G113" s="12">
        <v>2023</v>
      </c>
      <c r="H113" s="12"/>
    </row>
    <row r="114" spans="1:8" x14ac:dyDescent="0.35">
      <c r="A114" s="24">
        <v>38</v>
      </c>
      <c r="B114" s="24" t="s">
        <v>148</v>
      </c>
      <c r="C114" s="24" t="s">
        <v>149</v>
      </c>
      <c r="D114" s="11">
        <v>42569</v>
      </c>
      <c r="E114" s="12" t="s">
        <v>150</v>
      </c>
      <c r="F114" s="12" t="s">
        <v>9</v>
      </c>
      <c r="G114" s="12">
        <v>2021</v>
      </c>
      <c r="H114" s="12"/>
    </row>
    <row r="115" spans="1:8" x14ac:dyDescent="0.35">
      <c r="A115" s="24"/>
      <c r="B115" s="24"/>
      <c r="C115" s="24"/>
      <c r="D115" s="11"/>
      <c r="E115" s="12"/>
      <c r="F115" s="12"/>
      <c r="G115" s="12">
        <v>2022</v>
      </c>
      <c r="H115" s="12"/>
    </row>
    <row r="116" spans="1:8" x14ac:dyDescent="0.35">
      <c r="A116" s="24"/>
      <c r="B116" s="24"/>
      <c r="C116" s="24"/>
      <c r="D116" s="11"/>
      <c r="E116" s="12"/>
      <c r="F116" s="12"/>
      <c r="G116" s="12">
        <v>2023</v>
      </c>
      <c r="H116" s="12"/>
    </row>
    <row r="117" spans="1:8" x14ac:dyDescent="0.35">
      <c r="A117" s="24">
        <v>39</v>
      </c>
      <c r="B117" s="24" t="s">
        <v>151</v>
      </c>
      <c r="C117" s="24" t="s">
        <v>152</v>
      </c>
      <c r="D117" s="11">
        <v>42641</v>
      </c>
      <c r="E117" s="12" t="s">
        <v>153</v>
      </c>
      <c r="F117" s="12" t="s">
        <v>9</v>
      </c>
      <c r="G117" s="12">
        <v>2021</v>
      </c>
      <c r="H117" s="12"/>
    </row>
    <row r="118" spans="1:8" x14ac:dyDescent="0.35">
      <c r="A118" s="24"/>
      <c r="B118" s="24"/>
      <c r="C118" s="24"/>
      <c r="D118" s="11"/>
      <c r="E118" s="12"/>
      <c r="F118" s="12"/>
      <c r="G118" s="12">
        <v>2022</v>
      </c>
      <c r="H118" s="12"/>
    </row>
    <row r="119" spans="1:8" x14ac:dyDescent="0.35">
      <c r="A119" s="24"/>
      <c r="B119" s="24"/>
      <c r="C119" s="24"/>
      <c r="D119" s="11"/>
      <c r="E119" s="12"/>
      <c r="F119" s="12"/>
      <c r="G119" s="12">
        <v>2023</v>
      </c>
      <c r="H119" s="12"/>
    </row>
    <row r="120" spans="1:8" x14ac:dyDescent="0.35">
      <c r="A120" s="24">
        <v>40</v>
      </c>
      <c r="B120" s="24" t="s">
        <v>157</v>
      </c>
      <c r="C120" s="24" t="s">
        <v>158</v>
      </c>
      <c r="D120" s="11">
        <v>42810</v>
      </c>
      <c r="E120" s="12" t="s">
        <v>159</v>
      </c>
      <c r="F120" s="12" t="s">
        <v>9</v>
      </c>
      <c r="G120" s="12">
        <v>2021</v>
      </c>
      <c r="H120" s="12"/>
    </row>
    <row r="121" spans="1:8" x14ac:dyDescent="0.35">
      <c r="A121" s="24"/>
      <c r="B121" s="24"/>
      <c r="C121" s="24"/>
      <c r="D121" s="11"/>
      <c r="E121" s="12"/>
      <c r="F121" s="12"/>
      <c r="G121" s="12">
        <v>2022</v>
      </c>
      <c r="H121" s="12"/>
    </row>
    <row r="122" spans="1:8" x14ac:dyDescent="0.35">
      <c r="A122" s="24"/>
      <c r="B122" s="24"/>
      <c r="C122" s="24"/>
      <c r="D122" s="11"/>
      <c r="E122" s="12"/>
      <c r="F122" s="12"/>
      <c r="G122" s="12">
        <v>2023</v>
      </c>
      <c r="H122" s="12"/>
    </row>
    <row r="123" spans="1:8" x14ac:dyDescent="0.35">
      <c r="A123" s="24">
        <v>41</v>
      </c>
      <c r="B123" s="24" t="s">
        <v>160</v>
      </c>
      <c r="C123" s="24" t="s">
        <v>161</v>
      </c>
      <c r="D123" s="11">
        <v>42535</v>
      </c>
      <c r="E123" s="12" t="s">
        <v>162</v>
      </c>
      <c r="F123" s="12" t="s">
        <v>13</v>
      </c>
      <c r="G123" s="12">
        <v>2021</v>
      </c>
      <c r="H123" s="12"/>
    </row>
    <row r="124" spans="1:8" x14ac:dyDescent="0.35">
      <c r="A124" s="24"/>
      <c r="B124" s="24"/>
      <c r="C124" s="24"/>
      <c r="D124" s="11"/>
      <c r="E124" s="12"/>
      <c r="F124" s="12"/>
      <c r="G124" s="12">
        <v>2022</v>
      </c>
      <c r="H124" s="12"/>
    </row>
    <row r="125" spans="1:8" x14ac:dyDescent="0.35">
      <c r="A125" s="24"/>
      <c r="B125" s="24"/>
      <c r="C125" s="24"/>
      <c r="D125" s="11"/>
      <c r="E125" s="12"/>
      <c r="F125" s="12"/>
      <c r="G125" s="12">
        <v>2023</v>
      </c>
      <c r="H125" s="12"/>
    </row>
    <row r="126" spans="1:8" x14ac:dyDescent="0.35">
      <c r="A126" s="24">
        <v>42</v>
      </c>
      <c r="B126" s="24" t="s">
        <v>163</v>
      </c>
      <c r="C126" s="24" t="s">
        <v>164</v>
      </c>
      <c r="D126" s="11">
        <v>43063</v>
      </c>
      <c r="E126" s="12" t="s">
        <v>165</v>
      </c>
      <c r="F126" s="12" t="s">
        <v>9</v>
      </c>
      <c r="G126" s="12">
        <v>2021</v>
      </c>
      <c r="H126" s="12"/>
    </row>
    <row r="127" spans="1:8" x14ac:dyDescent="0.35">
      <c r="A127" s="24"/>
      <c r="B127" s="24"/>
      <c r="C127" s="24"/>
      <c r="D127" s="11"/>
      <c r="E127" s="12"/>
      <c r="F127" s="12"/>
      <c r="G127" s="12">
        <v>2022</v>
      </c>
      <c r="H127" s="12"/>
    </row>
    <row r="128" spans="1:8" x14ac:dyDescent="0.35">
      <c r="A128" s="24"/>
      <c r="B128" s="24"/>
      <c r="C128" s="24"/>
      <c r="D128" s="11"/>
      <c r="E128" s="12"/>
      <c r="F128" s="12"/>
      <c r="G128" s="12">
        <v>2023</v>
      </c>
      <c r="H128" s="12"/>
    </row>
    <row r="129" spans="1:8" x14ac:dyDescent="0.35">
      <c r="A129" s="24">
        <v>43</v>
      </c>
      <c r="B129" s="24" t="s">
        <v>166</v>
      </c>
      <c r="C129" s="24" t="s">
        <v>167</v>
      </c>
      <c r="D129" s="11">
        <v>44173</v>
      </c>
      <c r="E129" s="12" t="s">
        <v>168</v>
      </c>
      <c r="F129" s="12" t="s">
        <v>32</v>
      </c>
      <c r="G129" s="12">
        <v>2021</v>
      </c>
      <c r="H129" s="12"/>
    </row>
    <row r="130" spans="1:8" x14ac:dyDescent="0.35">
      <c r="A130" s="24"/>
      <c r="B130" s="24"/>
      <c r="C130" s="24"/>
      <c r="D130" s="11"/>
      <c r="E130" s="12"/>
      <c r="F130" s="12"/>
      <c r="G130" s="12">
        <v>2022</v>
      </c>
      <c r="H130" s="12"/>
    </row>
    <row r="131" spans="1:8" x14ac:dyDescent="0.35">
      <c r="A131" s="24"/>
      <c r="B131" s="24"/>
      <c r="C131" s="24"/>
      <c r="D131" s="11"/>
      <c r="E131" s="12"/>
      <c r="F131" s="12"/>
      <c r="G131" s="12">
        <v>2023</v>
      </c>
      <c r="H131" s="12"/>
    </row>
    <row r="132" spans="1:8" x14ac:dyDescent="0.35">
      <c r="A132" s="24">
        <v>44</v>
      </c>
      <c r="B132" s="24" t="s">
        <v>169</v>
      </c>
      <c r="C132" s="24" t="s">
        <v>170</v>
      </c>
      <c r="D132" s="11">
        <v>40218</v>
      </c>
      <c r="E132" s="12" t="s">
        <v>171</v>
      </c>
      <c r="F132" s="12" t="s">
        <v>13</v>
      </c>
      <c r="G132" s="12">
        <v>2021</v>
      </c>
      <c r="H132" s="12"/>
    </row>
    <row r="133" spans="1:8" x14ac:dyDescent="0.35">
      <c r="A133" s="24"/>
      <c r="B133" s="24"/>
      <c r="C133" s="24"/>
      <c r="D133" s="11"/>
      <c r="E133" s="12"/>
      <c r="F133" s="12"/>
      <c r="G133" s="12">
        <v>2022</v>
      </c>
      <c r="H133" s="12"/>
    </row>
    <row r="134" spans="1:8" x14ac:dyDescent="0.35">
      <c r="A134" s="24"/>
      <c r="B134" s="24"/>
      <c r="C134" s="24"/>
      <c r="D134" s="11"/>
      <c r="E134" s="12"/>
      <c r="F134" s="12"/>
      <c r="G134" s="12">
        <v>2023</v>
      </c>
      <c r="H134" s="12"/>
    </row>
    <row r="135" spans="1:8" x14ac:dyDescent="0.35">
      <c r="A135" s="24">
        <v>45</v>
      </c>
      <c r="B135" s="24" t="s">
        <v>172</v>
      </c>
      <c r="C135" s="24" t="s">
        <v>173</v>
      </c>
      <c r="D135" s="11">
        <v>43868</v>
      </c>
      <c r="E135" s="12" t="s">
        <v>174</v>
      </c>
      <c r="F135" s="12" t="s">
        <v>9</v>
      </c>
      <c r="G135" s="12">
        <v>2021</v>
      </c>
      <c r="H135" s="12"/>
    </row>
    <row r="136" spans="1:8" x14ac:dyDescent="0.35">
      <c r="A136" s="24"/>
      <c r="B136" s="24"/>
      <c r="C136" s="24"/>
      <c r="D136" s="11"/>
      <c r="E136" s="12"/>
      <c r="F136" s="12"/>
      <c r="G136" s="12">
        <v>2022</v>
      </c>
      <c r="H136" s="12"/>
    </row>
    <row r="137" spans="1:8" x14ac:dyDescent="0.35">
      <c r="A137" s="24"/>
      <c r="B137" s="24"/>
      <c r="C137" s="24"/>
      <c r="D137" s="11"/>
      <c r="E137" s="12"/>
      <c r="F137" s="12"/>
      <c r="G137" s="12">
        <v>2023</v>
      </c>
      <c r="H137" s="12"/>
    </row>
    <row r="138" spans="1:8" x14ac:dyDescent="0.35">
      <c r="A138" s="24">
        <v>46</v>
      </c>
      <c r="B138" s="24" t="s">
        <v>175</v>
      </c>
      <c r="C138" s="24" t="s">
        <v>176</v>
      </c>
      <c r="D138" s="11">
        <v>43930</v>
      </c>
      <c r="E138" s="12" t="s">
        <v>177</v>
      </c>
      <c r="F138" s="12" t="s">
        <v>32</v>
      </c>
      <c r="G138" s="12">
        <v>2021</v>
      </c>
      <c r="H138" s="12"/>
    </row>
    <row r="139" spans="1:8" x14ac:dyDescent="0.35">
      <c r="A139" s="24"/>
      <c r="B139" s="24"/>
      <c r="C139" s="24"/>
      <c r="D139" s="11"/>
      <c r="E139" s="12"/>
      <c r="F139" s="12"/>
      <c r="G139" s="12">
        <v>2022</v>
      </c>
      <c r="H139" s="12"/>
    </row>
    <row r="140" spans="1:8" x14ac:dyDescent="0.35">
      <c r="A140" s="24"/>
      <c r="B140" s="24"/>
      <c r="C140" s="24"/>
      <c r="D140" s="11"/>
      <c r="E140" s="12"/>
      <c r="F140" s="12"/>
      <c r="G140" s="12">
        <v>2023</v>
      </c>
      <c r="H140" s="12"/>
    </row>
    <row r="141" spans="1:8" x14ac:dyDescent="0.35">
      <c r="A141" s="24">
        <v>47</v>
      </c>
      <c r="B141" s="24" t="s">
        <v>181</v>
      </c>
      <c r="C141" s="24" t="s">
        <v>182</v>
      </c>
      <c r="D141" s="11">
        <v>35516</v>
      </c>
      <c r="E141" s="12" t="s">
        <v>183</v>
      </c>
      <c r="F141" s="12" t="s">
        <v>13</v>
      </c>
      <c r="G141" s="12">
        <v>2021</v>
      </c>
      <c r="H141" s="12"/>
    </row>
    <row r="142" spans="1:8" x14ac:dyDescent="0.35">
      <c r="A142" s="24"/>
      <c r="B142" s="24"/>
      <c r="C142" s="24"/>
      <c r="D142" s="11"/>
      <c r="E142" s="12"/>
      <c r="F142" s="12"/>
      <c r="G142" s="12">
        <v>2022</v>
      </c>
      <c r="H142" s="12"/>
    </row>
    <row r="143" spans="1:8" x14ac:dyDescent="0.35">
      <c r="A143" s="24"/>
      <c r="B143" s="24"/>
      <c r="C143" s="24"/>
      <c r="D143" s="11"/>
      <c r="E143" s="12"/>
      <c r="F143" s="12"/>
      <c r="G143" s="12">
        <v>2023</v>
      </c>
      <c r="H143" s="12"/>
    </row>
    <row r="144" spans="1:8" x14ac:dyDescent="0.35">
      <c r="A144" s="24">
        <v>48</v>
      </c>
      <c r="B144" s="24" t="s">
        <v>184</v>
      </c>
      <c r="C144" s="24" t="s">
        <v>185</v>
      </c>
      <c r="D144" s="11">
        <v>40827</v>
      </c>
      <c r="E144" s="12" t="s">
        <v>186</v>
      </c>
      <c r="F144" s="12" t="s">
        <v>32</v>
      </c>
      <c r="G144" s="12">
        <v>2021</v>
      </c>
      <c r="H144" s="12"/>
    </row>
    <row r="145" spans="1:8" x14ac:dyDescent="0.35">
      <c r="A145" s="24"/>
      <c r="B145" s="24"/>
      <c r="C145" s="24"/>
      <c r="D145" s="11"/>
      <c r="E145" s="12"/>
      <c r="F145" s="12"/>
      <c r="G145" s="12">
        <v>2022</v>
      </c>
      <c r="H145" s="12"/>
    </row>
    <row r="146" spans="1:8" x14ac:dyDescent="0.35">
      <c r="A146" s="24"/>
      <c r="B146" s="24"/>
      <c r="C146" s="24"/>
      <c r="D146" s="11"/>
      <c r="E146" s="12"/>
      <c r="F146" s="12"/>
      <c r="G146" s="12">
        <v>2023</v>
      </c>
      <c r="H146" s="12"/>
    </row>
    <row r="147" spans="1:8" x14ac:dyDescent="0.35">
      <c r="A147" s="24">
        <v>49</v>
      </c>
      <c r="B147" s="24" t="s">
        <v>187</v>
      </c>
      <c r="C147" s="24" t="s">
        <v>188</v>
      </c>
      <c r="D147" s="11">
        <v>43871</v>
      </c>
      <c r="E147" s="12" t="s">
        <v>189</v>
      </c>
      <c r="F147" s="12" t="s">
        <v>32</v>
      </c>
      <c r="G147" s="12">
        <v>2021</v>
      </c>
      <c r="H147" s="12"/>
    </row>
    <row r="148" spans="1:8" x14ac:dyDescent="0.35">
      <c r="A148" s="24"/>
      <c r="B148" s="24"/>
      <c r="C148" s="24"/>
      <c r="D148" s="11"/>
      <c r="E148" s="12"/>
      <c r="F148" s="12"/>
      <c r="G148" s="12">
        <v>2022</v>
      </c>
      <c r="H148" s="12"/>
    </row>
    <row r="149" spans="1:8" x14ac:dyDescent="0.35">
      <c r="A149" s="24"/>
      <c r="B149" s="24"/>
      <c r="C149" s="24"/>
      <c r="D149" s="11"/>
      <c r="E149" s="12"/>
      <c r="F149" s="12"/>
      <c r="G149" s="12">
        <v>2023</v>
      </c>
      <c r="H149" s="12"/>
    </row>
    <row r="150" spans="1:8" x14ac:dyDescent="0.35">
      <c r="A150" s="24">
        <v>50</v>
      </c>
      <c r="B150" s="24" t="s">
        <v>190</v>
      </c>
      <c r="C150" s="24" t="s">
        <v>191</v>
      </c>
      <c r="D150" s="11">
        <v>40477</v>
      </c>
      <c r="E150" s="12" t="s">
        <v>192</v>
      </c>
      <c r="F150" s="12" t="s">
        <v>13</v>
      </c>
      <c r="G150" s="12">
        <v>2021</v>
      </c>
      <c r="H150" s="12"/>
    </row>
    <row r="151" spans="1:8" x14ac:dyDescent="0.35">
      <c r="A151" s="24"/>
      <c r="B151" s="24"/>
      <c r="C151" s="24"/>
      <c r="D151" s="11"/>
      <c r="E151" s="12"/>
      <c r="F151" s="12"/>
      <c r="G151" s="12">
        <v>2022</v>
      </c>
      <c r="H151" s="12"/>
    </row>
    <row r="152" spans="1:8" x14ac:dyDescent="0.35">
      <c r="A152" s="24"/>
      <c r="B152" s="24"/>
      <c r="C152" s="24"/>
      <c r="D152" s="11"/>
      <c r="E152" s="12"/>
      <c r="F152" s="12"/>
      <c r="G152" s="12">
        <v>2023</v>
      </c>
      <c r="H152" s="12"/>
    </row>
    <row r="153" spans="1:8" x14ac:dyDescent="0.35">
      <c r="A153" s="24">
        <v>51</v>
      </c>
      <c r="B153" s="24" t="s">
        <v>193</v>
      </c>
      <c r="C153" s="24" t="s">
        <v>194</v>
      </c>
      <c r="D153" s="11">
        <v>42871</v>
      </c>
      <c r="E153" s="12" t="s">
        <v>195</v>
      </c>
      <c r="F153" s="12" t="s">
        <v>32</v>
      </c>
      <c r="G153" s="12">
        <v>2021</v>
      </c>
      <c r="H153" s="12"/>
    </row>
    <row r="154" spans="1:8" x14ac:dyDescent="0.35">
      <c r="A154" s="24"/>
      <c r="B154" s="24"/>
      <c r="C154" s="24"/>
      <c r="D154" s="11"/>
      <c r="E154" s="12"/>
      <c r="F154" s="12"/>
      <c r="G154" s="12">
        <v>2022</v>
      </c>
      <c r="H154" s="12"/>
    </row>
    <row r="155" spans="1:8" x14ac:dyDescent="0.35">
      <c r="A155" s="24"/>
      <c r="B155" s="24"/>
      <c r="C155" s="24"/>
      <c r="D155" s="11"/>
      <c r="E155" s="12"/>
      <c r="F155" s="12"/>
      <c r="G155" s="12">
        <v>2023</v>
      </c>
      <c r="H155" s="12"/>
    </row>
    <row r="156" spans="1:8" x14ac:dyDescent="0.35">
      <c r="A156" s="24">
        <v>52</v>
      </c>
      <c r="B156" s="24" t="s">
        <v>196</v>
      </c>
      <c r="C156" s="24" t="s">
        <v>197</v>
      </c>
      <c r="D156" s="11">
        <v>35017</v>
      </c>
      <c r="E156" s="12" t="s">
        <v>198</v>
      </c>
      <c r="F156" s="12" t="s">
        <v>13</v>
      </c>
      <c r="G156" s="12">
        <v>2021</v>
      </c>
      <c r="H156" s="12"/>
    </row>
    <row r="157" spans="1:8" x14ac:dyDescent="0.35">
      <c r="A157" s="24"/>
      <c r="B157" s="24"/>
      <c r="C157" s="24"/>
      <c r="D157" s="11"/>
      <c r="E157" s="12"/>
      <c r="F157" s="12"/>
      <c r="G157" s="12">
        <v>2022</v>
      </c>
      <c r="H157" s="12"/>
    </row>
    <row r="158" spans="1:8" x14ac:dyDescent="0.35">
      <c r="A158" s="24"/>
      <c r="B158" s="24"/>
      <c r="C158" s="24"/>
      <c r="D158" s="11"/>
      <c r="E158" s="12"/>
      <c r="F158" s="12"/>
      <c r="G158" s="12">
        <v>2023</v>
      </c>
      <c r="H158" s="12"/>
    </row>
    <row r="159" spans="1:8" x14ac:dyDescent="0.35">
      <c r="A159" s="24">
        <v>53</v>
      </c>
      <c r="B159" s="24" t="s">
        <v>199</v>
      </c>
      <c r="C159" s="24" t="s">
        <v>200</v>
      </c>
      <c r="D159" s="11">
        <v>42902</v>
      </c>
      <c r="E159" s="12" t="s">
        <v>201</v>
      </c>
      <c r="F159" s="12" t="s">
        <v>32</v>
      </c>
      <c r="G159" s="12">
        <v>2021</v>
      </c>
      <c r="H159" s="12"/>
    </row>
    <row r="160" spans="1:8" x14ac:dyDescent="0.35">
      <c r="A160" s="24"/>
      <c r="B160" s="24"/>
      <c r="C160" s="24"/>
      <c r="D160" s="11"/>
      <c r="E160" s="12"/>
      <c r="F160" s="12"/>
      <c r="G160" s="12">
        <v>2022</v>
      </c>
      <c r="H160" s="12"/>
    </row>
    <row r="161" spans="1:8" x14ac:dyDescent="0.35">
      <c r="A161" s="24"/>
      <c r="B161" s="24"/>
      <c r="C161" s="24"/>
      <c r="D161" s="11"/>
      <c r="E161" s="12"/>
      <c r="F161" s="12"/>
      <c r="G161" s="12">
        <v>2023</v>
      </c>
      <c r="H161" s="12"/>
    </row>
    <row r="162" spans="1:8" x14ac:dyDescent="0.35">
      <c r="A162" s="24">
        <v>54</v>
      </c>
      <c r="B162" s="24" t="s">
        <v>202</v>
      </c>
      <c r="C162" s="24" t="s">
        <v>203</v>
      </c>
      <c r="D162" s="11">
        <v>38923</v>
      </c>
      <c r="E162" s="12" t="s">
        <v>204</v>
      </c>
      <c r="F162" s="12" t="s">
        <v>13</v>
      </c>
      <c r="G162" s="12">
        <v>2021</v>
      </c>
      <c r="H162" s="12"/>
    </row>
    <row r="163" spans="1:8" x14ac:dyDescent="0.35">
      <c r="A163" s="24"/>
      <c r="B163" s="24"/>
      <c r="C163" s="24"/>
      <c r="D163" s="11"/>
      <c r="E163" s="12"/>
      <c r="F163" s="12"/>
      <c r="G163" s="12">
        <v>2022</v>
      </c>
      <c r="H163" s="12"/>
    </row>
    <row r="164" spans="1:8" x14ac:dyDescent="0.35">
      <c r="A164" s="24"/>
      <c r="B164" s="24"/>
      <c r="C164" s="24"/>
      <c r="D164" s="11"/>
      <c r="E164" s="12"/>
      <c r="F164" s="12"/>
      <c r="G164" s="12">
        <v>2023</v>
      </c>
      <c r="H164" s="12"/>
    </row>
    <row r="165" spans="1:8" x14ac:dyDescent="0.35">
      <c r="A165" s="24">
        <v>55</v>
      </c>
      <c r="B165" s="24" t="s">
        <v>205</v>
      </c>
      <c r="C165" s="24" t="s">
        <v>206</v>
      </c>
      <c r="D165" s="11">
        <v>40245</v>
      </c>
      <c r="E165" s="12" t="s">
        <v>207</v>
      </c>
      <c r="F165" s="12" t="s">
        <v>13</v>
      </c>
      <c r="G165" s="12">
        <v>2021</v>
      </c>
      <c r="H165" s="12"/>
    </row>
    <row r="166" spans="1:8" x14ac:dyDescent="0.35">
      <c r="A166" s="24"/>
      <c r="B166" s="24"/>
      <c r="C166" s="24"/>
      <c r="D166" s="11"/>
      <c r="E166" s="12"/>
      <c r="F166" s="12"/>
      <c r="G166" s="12">
        <v>2022</v>
      </c>
      <c r="H166" s="12"/>
    </row>
    <row r="167" spans="1:8" x14ac:dyDescent="0.35">
      <c r="A167" s="24"/>
      <c r="B167" s="24"/>
      <c r="C167" s="24"/>
      <c r="D167" s="11"/>
      <c r="E167" s="12"/>
      <c r="F167" s="12"/>
      <c r="G167" s="12">
        <v>2023</v>
      </c>
      <c r="H167" s="12"/>
    </row>
    <row r="168" spans="1:8" x14ac:dyDescent="0.35">
      <c r="A168" s="24">
        <v>56</v>
      </c>
      <c r="B168" s="24" t="s">
        <v>208</v>
      </c>
      <c r="C168" s="24" t="s">
        <v>209</v>
      </c>
      <c r="D168" s="11">
        <v>43069</v>
      </c>
      <c r="E168" s="12" t="s">
        <v>210</v>
      </c>
      <c r="F168" s="12" t="s">
        <v>13</v>
      </c>
      <c r="G168" s="12">
        <v>2021</v>
      </c>
      <c r="H168" s="12"/>
    </row>
    <row r="169" spans="1:8" x14ac:dyDescent="0.35">
      <c r="A169" s="24"/>
      <c r="B169" s="24"/>
      <c r="C169" s="24"/>
      <c r="D169" s="11"/>
      <c r="E169" s="12"/>
      <c r="F169" s="12"/>
      <c r="G169" s="12">
        <v>2022</v>
      </c>
      <c r="H169" s="12"/>
    </row>
    <row r="170" spans="1:8" x14ac:dyDescent="0.35">
      <c r="A170" s="24"/>
      <c r="B170" s="24"/>
      <c r="C170" s="24"/>
      <c r="D170" s="11"/>
      <c r="E170" s="12"/>
      <c r="F170" s="12"/>
      <c r="G170" s="12">
        <v>2023</v>
      </c>
      <c r="H170" s="12"/>
    </row>
    <row r="171" spans="1:8" x14ac:dyDescent="0.35">
      <c r="A171" s="24">
        <v>57</v>
      </c>
      <c r="B171" s="24" t="s">
        <v>211</v>
      </c>
      <c r="C171" s="24" t="s">
        <v>212</v>
      </c>
      <c r="D171" s="11">
        <v>39384</v>
      </c>
      <c r="E171" s="12" t="s">
        <v>213</v>
      </c>
      <c r="F171" s="12" t="s">
        <v>9</v>
      </c>
      <c r="G171" s="12">
        <v>2021</v>
      </c>
      <c r="H171" s="12"/>
    </row>
    <row r="172" spans="1:8" x14ac:dyDescent="0.35">
      <c r="A172" s="24"/>
      <c r="B172" s="24"/>
      <c r="C172" s="24"/>
      <c r="D172" s="11"/>
      <c r="E172" s="12"/>
      <c r="F172" s="12"/>
      <c r="G172" s="12">
        <v>2022</v>
      </c>
      <c r="H172" s="12"/>
    </row>
    <row r="173" spans="1:8" x14ac:dyDescent="0.35">
      <c r="A173" s="24"/>
      <c r="B173" s="24"/>
      <c r="C173" s="24"/>
      <c r="D173" s="11"/>
      <c r="E173" s="12"/>
      <c r="F173" s="12"/>
      <c r="G173" s="12">
        <v>2023</v>
      </c>
      <c r="H173" s="12"/>
    </row>
    <row r="174" spans="1:8" x14ac:dyDescent="0.35">
      <c r="A174" s="24">
        <v>58</v>
      </c>
      <c r="B174" s="24" t="s">
        <v>214</v>
      </c>
      <c r="C174" s="24" t="s">
        <v>215</v>
      </c>
      <c r="D174" s="11">
        <v>41262</v>
      </c>
      <c r="E174" s="12" t="s">
        <v>216</v>
      </c>
      <c r="F174" s="12" t="s">
        <v>32</v>
      </c>
      <c r="G174" s="12">
        <v>2021</v>
      </c>
      <c r="H174" s="12"/>
    </row>
    <row r="175" spans="1:8" x14ac:dyDescent="0.35">
      <c r="A175" s="24"/>
      <c r="B175" s="24"/>
      <c r="C175" s="24"/>
      <c r="D175" s="12"/>
      <c r="E175" s="12"/>
      <c r="F175" s="12"/>
      <c r="G175" s="12">
        <v>2022</v>
      </c>
      <c r="H175" s="12"/>
    </row>
    <row r="176" spans="1:8" x14ac:dyDescent="0.35">
      <c r="A176" s="24"/>
      <c r="B176" s="24"/>
      <c r="C176" s="24"/>
      <c r="D176" s="12"/>
      <c r="E176" s="12"/>
      <c r="F176" s="12"/>
      <c r="G176" s="12">
        <v>2023</v>
      </c>
      <c r="H176" s="12"/>
    </row>
  </sheetData>
  <autoFilter ref="A2:H174" xr:uid="{7353B7B3-76A8-0B45-AF10-D1A33E16FDE2}"/>
  <mergeCells count="175">
    <mergeCell ref="A174:A176"/>
    <mergeCell ref="B174:B176"/>
    <mergeCell ref="C174:C176"/>
    <mergeCell ref="A168:A170"/>
    <mergeCell ref="B168:B170"/>
    <mergeCell ref="C168:C170"/>
    <mergeCell ref="A171:A173"/>
    <mergeCell ref="B171:B173"/>
    <mergeCell ref="C171:C173"/>
    <mergeCell ref="A162:A164"/>
    <mergeCell ref="B162:B164"/>
    <mergeCell ref="C162:C164"/>
    <mergeCell ref="A165:A167"/>
    <mergeCell ref="B165:B167"/>
    <mergeCell ref="C165:C167"/>
    <mergeCell ref="A156:A158"/>
    <mergeCell ref="B156:B158"/>
    <mergeCell ref="C156:C158"/>
    <mergeCell ref="A159:A161"/>
    <mergeCell ref="B159:B161"/>
    <mergeCell ref="C159:C161"/>
    <mergeCell ref="A150:A152"/>
    <mergeCell ref="B150:B152"/>
    <mergeCell ref="C150:C152"/>
    <mergeCell ref="A153:A155"/>
    <mergeCell ref="B153:B155"/>
    <mergeCell ref="C153:C155"/>
    <mergeCell ref="A144:A146"/>
    <mergeCell ref="B144:B146"/>
    <mergeCell ref="C144:C146"/>
    <mergeCell ref="A147:A149"/>
    <mergeCell ref="B147:B149"/>
    <mergeCell ref="C147:C149"/>
    <mergeCell ref="A138:A140"/>
    <mergeCell ref="B138:B140"/>
    <mergeCell ref="C138:C140"/>
    <mergeCell ref="A141:A143"/>
    <mergeCell ref="B141:B143"/>
    <mergeCell ref="C141:C143"/>
    <mergeCell ref="A132:A134"/>
    <mergeCell ref="B132:B134"/>
    <mergeCell ref="C132:C134"/>
    <mergeCell ref="A135:A137"/>
    <mergeCell ref="B135:B137"/>
    <mergeCell ref="C135:C137"/>
    <mergeCell ref="A126:A128"/>
    <mergeCell ref="B126:B128"/>
    <mergeCell ref="C126:C128"/>
    <mergeCell ref="A129:A131"/>
    <mergeCell ref="B129:B131"/>
    <mergeCell ref="C129:C131"/>
    <mergeCell ref="A120:A122"/>
    <mergeCell ref="B120:B122"/>
    <mergeCell ref="C120:C122"/>
    <mergeCell ref="A123:A125"/>
    <mergeCell ref="B123:B125"/>
    <mergeCell ref="C123:C125"/>
    <mergeCell ref="A114:A116"/>
    <mergeCell ref="B114:B116"/>
    <mergeCell ref="C114:C116"/>
    <mergeCell ref="A117:A119"/>
    <mergeCell ref="B117:B119"/>
    <mergeCell ref="C117:C119"/>
    <mergeCell ref="A108:A110"/>
    <mergeCell ref="B108:B110"/>
    <mergeCell ref="C108:C110"/>
    <mergeCell ref="A111:A113"/>
    <mergeCell ref="B111:B113"/>
    <mergeCell ref="C111:C113"/>
    <mergeCell ref="A102:A104"/>
    <mergeCell ref="B102:B104"/>
    <mergeCell ref="C102:C104"/>
    <mergeCell ref="A105:A107"/>
    <mergeCell ref="B105:B107"/>
    <mergeCell ref="C105:C107"/>
    <mergeCell ref="A96:A98"/>
    <mergeCell ref="B96:B98"/>
    <mergeCell ref="C96:C98"/>
    <mergeCell ref="A99:A101"/>
    <mergeCell ref="B99:B101"/>
    <mergeCell ref="C99:C101"/>
    <mergeCell ref="A87:A89"/>
    <mergeCell ref="B87:B89"/>
    <mergeCell ref="C87:C89"/>
    <mergeCell ref="A90:A92"/>
    <mergeCell ref="A93:A95"/>
    <mergeCell ref="B90:B92"/>
    <mergeCell ref="C90:C92"/>
    <mergeCell ref="B93:B95"/>
    <mergeCell ref="C93:C95"/>
    <mergeCell ref="A81:A83"/>
    <mergeCell ref="B81:B83"/>
    <mergeCell ref="C81:C83"/>
    <mergeCell ref="A84:A86"/>
    <mergeCell ref="B84:B86"/>
    <mergeCell ref="C84:C86"/>
    <mergeCell ref="A75:A77"/>
    <mergeCell ref="B75:B77"/>
    <mergeCell ref="C75:C77"/>
    <mergeCell ref="A78:A80"/>
    <mergeCell ref="B78:B80"/>
    <mergeCell ref="C78:C80"/>
    <mergeCell ref="A69:A71"/>
    <mergeCell ref="B69:B71"/>
    <mergeCell ref="C69:C71"/>
    <mergeCell ref="A72:A74"/>
    <mergeCell ref="B72:B74"/>
    <mergeCell ref="C72:C74"/>
    <mergeCell ref="A63:A65"/>
    <mergeCell ref="B63:B65"/>
    <mergeCell ref="C63:C65"/>
    <mergeCell ref="A66:A68"/>
    <mergeCell ref="B66:B68"/>
    <mergeCell ref="C66:C68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A54:A56"/>
    <mergeCell ref="B54:B56"/>
    <mergeCell ref="C54:C56"/>
    <mergeCell ref="A45:A47"/>
    <mergeCell ref="B45:B47"/>
    <mergeCell ref="C45:C47"/>
    <mergeCell ref="A48:A50"/>
    <mergeCell ref="B48:B50"/>
    <mergeCell ref="C48:C50"/>
    <mergeCell ref="A39:A41"/>
    <mergeCell ref="B39:B41"/>
    <mergeCell ref="C39:C41"/>
    <mergeCell ref="A42:A44"/>
    <mergeCell ref="B42:B44"/>
    <mergeCell ref="C42:C44"/>
    <mergeCell ref="A33:A35"/>
    <mergeCell ref="B33:B35"/>
    <mergeCell ref="C33:C35"/>
    <mergeCell ref="A36:A38"/>
    <mergeCell ref="B36:B38"/>
    <mergeCell ref="C36:C38"/>
    <mergeCell ref="A27:A29"/>
    <mergeCell ref="B27:B29"/>
    <mergeCell ref="C27:C29"/>
    <mergeCell ref="A30:A32"/>
    <mergeCell ref="B30:B32"/>
    <mergeCell ref="C30:C32"/>
    <mergeCell ref="A21:A23"/>
    <mergeCell ref="B21:B23"/>
    <mergeCell ref="C21:C23"/>
    <mergeCell ref="A24:A26"/>
    <mergeCell ref="B24:B26"/>
    <mergeCell ref="C24:C26"/>
    <mergeCell ref="A15:A17"/>
    <mergeCell ref="B15:B17"/>
    <mergeCell ref="C15:C17"/>
    <mergeCell ref="A18:A20"/>
    <mergeCell ref="B18:B20"/>
    <mergeCell ref="C18:C20"/>
    <mergeCell ref="A9:A11"/>
    <mergeCell ref="B9:B11"/>
    <mergeCell ref="C9:C11"/>
    <mergeCell ref="A12:A14"/>
    <mergeCell ref="B12:B14"/>
    <mergeCell ref="C12:C14"/>
    <mergeCell ref="A1:F1"/>
    <mergeCell ref="A3:A5"/>
    <mergeCell ref="B3:B5"/>
    <mergeCell ref="C3:C5"/>
    <mergeCell ref="B6:B8"/>
    <mergeCell ref="A6:A8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6DF1-7EB5-684D-A256-8B37B722303C}">
  <dimension ref="A1:G178"/>
  <sheetViews>
    <sheetView tabSelected="1" topLeftCell="A164" workbookViewId="0">
      <selection activeCell="I171" sqref="I171"/>
    </sheetView>
  </sheetViews>
  <sheetFormatPr defaultColWidth="10.6640625" defaultRowHeight="15.5" x14ac:dyDescent="0.35"/>
  <cols>
    <col min="2" max="2" width="11.6640625" bestFit="1" customWidth="1"/>
    <col min="3" max="3" width="23.83203125" customWidth="1"/>
    <col min="4" max="4" width="32.5" bestFit="1" customWidth="1"/>
    <col min="5" max="5" width="21" customWidth="1"/>
    <col min="7" max="7" width="11.75" bestFit="1" customWidth="1"/>
  </cols>
  <sheetData>
    <row r="1" spans="1:6" ht="16" thickBot="1" x14ac:dyDescent="0.4">
      <c r="B1" s="4" t="s">
        <v>217</v>
      </c>
      <c r="C1" s="5" t="s">
        <v>226</v>
      </c>
    </row>
    <row r="2" spans="1:6" x14ac:dyDescent="0.35">
      <c r="B2" s="6"/>
      <c r="C2" s="7" t="s">
        <v>227</v>
      </c>
    </row>
    <row r="4" spans="1:6" x14ac:dyDescent="0.35">
      <c r="A4" s="9" t="s">
        <v>220</v>
      </c>
      <c r="B4" s="9" t="s">
        <v>221</v>
      </c>
      <c r="C4" s="9" t="s">
        <v>222</v>
      </c>
      <c r="D4" s="9" t="s">
        <v>228</v>
      </c>
      <c r="E4" s="9" t="s">
        <v>227</v>
      </c>
      <c r="F4" s="9" t="s">
        <v>223</v>
      </c>
    </row>
    <row r="5" spans="1:6" x14ac:dyDescent="0.35">
      <c r="A5" s="26">
        <v>1</v>
      </c>
      <c r="B5" s="26" t="s">
        <v>6</v>
      </c>
      <c r="C5" s="12">
        <v>2021</v>
      </c>
      <c r="D5" s="19">
        <v>0</v>
      </c>
      <c r="E5" s="13">
        <v>-693366000</v>
      </c>
      <c r="F5">
        <f>D5/E5</f>
        <v>0</v>
      </c>
    </row>
    <row r="6" spans="1:6" x14ac:dyDescent="0.35">
      <c r="A6" s="27"/>
      <c r="B6" s="27"/>
      <c r="C6" s="12">
        <v>2022</v>
      </c>
      <c r="D6" s="19">
        <v>0</v>
      </c>
      <c r="E6" s="13">
        <v>-451613000</v>
      </c>
      <c r="F6">
        <f t="shared" ref="F6:F69" si="0">D6/E6</f>
        <v>0</v>
      </c>
    </row>
    <row r="7" spans="1:6" x14ac:dyDescent="0.35">
      <c r="A7" s="28"/>
      <c r="B7" s="28"/>
      <c r="C7" s="12">
        <v>2023</v>
      </c>
      <c r="D7" s="19">
        <v>0</v>
      </c>
      <c r="E7" s="13">
        <v>-276638000</v>
      </c>
      <c r="F7">
        <f t="shared" si="0"/>
        <v>0</v>
      </c>
    </row>
    <row r="8" spans="1:6" x14ac:dyDescent="0.35">
      <c r="A8" s="26">
        <v>2</v>
      </c>
      <c r="B8" s="26" t="s">
        <v>10</v>
      </c>
      <c r="C8" s="12">
        <v>2021</v>
      </c>
      <c r="D8" s="19">
        <v>0</v>
      </c>
      <c r="E8" s="17">
        <v>86499800385</v>
      </c>
      <c r="F8">
        <f t="shared" si="0"/>
        <v>0</v>
      </c>
    </row>
    <row r="9" spans="1:6" x14ac:dyDescent="0.35">
      <c r="A9" s="27"/>
      <c r="B9" s="27"/>
      <c r="C9" s="12">
        <v>2022</v>
      </c>
      <c r="D9" s="19">
        <v>0</v>
      </c>
      <c r="E9" s="17">
        <v>175209867105</v>
      </c>
      <c r="F9">
        <f t="shared" si="0"/>
        <v>0</v>
      </c>
    </row>
    <row r="10" spans="1:6" x14ac:dyDescent="0.35">
      <c r="A10" s="28"/>
      <c r="B10" s="28"/>
      <c r="C10" s="12">
        <v>2023</v>
      </c>
      <c r="D10" s="19">
        <v>0</v>
      </c>
      <c r="E10" s="17">
        <v>289882510819</v>
      </c>
      <c r="F10">
        <f t="shared" si="0"/>
        <v>0</v>
      </c>
    </row>
    <row r="11" spans="1:6" x14ac:dyDescent="0.35">
      <c r="A11" s="26">
        <v>3</v>
      </c>
      <c r="B11" s="26" t="s">
        <v>17</v>
      </c>
      <c r="C11" s="12">
        <v>2021</v>
      </c>
      <c r="D11" s="19">
        <v>0</v>
      </c>
      <c r="E11" s="14"/>
      <c r="F11" t="e">
        <f t="shared" si="0"/>
        <v>#DIV/0!</v>
      </c>
    </row>
    <row r="12" spans="1:6" x14ac:dyDescent="0.35">
      <c r="A12" s="27"/>
      <c r="B12" s="27"/>
      <c r="C12" s="12">
        <v>2022</v>
      </c>
      <c r="D12" s="19">
        <v>0</v>
      </c>
      <c r="E12" s="13">
        <v>18949256774</v>
      </c>
      <c r="F12">
        <f t="shared" si="0"/>
        <v>0</v>
      </c>
    </row>
    <row r="13" spans="1:6" x14ac:dyDescent="0.35">
      <c r="A13" s="28"/>
      <c r="B13" s="28"/>
      <c r="C13" s="12">
        <v>2023</v>
      </c>
      <c r="D13" s="19">
        <v>0</v>
      </c>
      <c r="E13" s="13">
        <v>19263325697</v>
      </c>
      <c r="F13">
        <f t="shared" si="0"/>
        <v>0</v>
      </c>
    </row>
    <row r="14" spans="1:6" x14ac:dyDescent="0.35">
      <c r="A14" s="26">
        <v>4</v>
      </c>
      <c r="B14" s="26" t="s">
        <v>20</v>
      </c>
      <c r="C14" s="12">
        <v>2021</v>
      </c>
      <c r="D14" s="23">
        <v>118037775000</v>
      </c>
      <c r="E14" s="13">
        <v>188536504140</v>
      </c>
      <c r="F14">
        <f t="shared" si="0"/>
        <v>0.62607384993385506</v>
      </c>
    </row>
    <row r="15" spans="1:6" x14ac:dyDescent="0.35">
      <c r="A15" s="27"/>
      <c r="B15" s="27"/>
      <c r="C15" s="12">
        <v>2022</v>
      </c>
      <c r="D15" s="23">
        <v>122562556375</v>
      </c>
      <c r="E15" s="13">
        <v>210672719165</v>
      </c>
      <c r="F15">
        <f t="shared" si="0"/>
        <v>0.58176757228356824</v>
      </c>
    </row>
    <row r="16" spans="1:6" x14ac:dyDescent="0.35">
      <c r="A16" s="28"/>
      <c r="B16" s="28"/>
      <c r="C16" s="12">
        <v>2023</v>
      </c>
      <c r="D16" s="23">
        <v>127244721450</v>
      </c>
      <c r="E16" s="13">
        <v>153400185135</v>
      </c>
      <c r="F16">
        <f t="shared" si="0"/>
        <v>0.82949522738853376</v>
      </c>
    </row>
    <row r="17" spans="1:6" x14ac:dyDescent="0.35">
      <c r="A17" s="26">
        <v>5</v>
      </c>
      <c r="B17" s="26" t="s">
        <v>26</v>
      </c>
      <c r="C17" s="12">
        <v>2021</v>
      </c>
      <c r="D17">
        <v>0</v>
      </c>
      <c r="E17" s="14"/>
      <c r="F17" t="e">
        <f>D17/E17</f>
        <v>#DIV/0!</v>
      </c>
    </row>
    <row r="18" spans="1:6" x14ac:dyDescent="0.35">
      <c r="A18" s="27"/>
      <c r="B18" s="27"/>
      <c r="C18" s="12">
        <v>2022</v>
      </c>
      <c r="D18">
        <v>75817328.146567956</v>
      </c>
      <c r="E18" s="15">
        <v>172560000</v>
      </c>
      <c r="F18">
        <f>D18/E18</f>
        <v>0.43936791925456625</v>
      </c>
    </row>
    <row r="19" spans="1:6" x14ac:dyDescent="0.35">
      <c r="A19" s="28"/>
      <c r="B19" s="28"/>
      <c r="C19" s="12">
        <v>2023</v>
      </c>
      <c r="D19">
        <v>57913023.02672857</v>
      </c>
      <c r="E19" s="15">
        <v>145269000</v>
      </c>
      <c r="F19">
        <f>D19/E19</f>
        <v>0.39866057470436617</v>
      </c>
    </row>
    <row r="20" spans="1:6" x14ac:dyDescent="0.35">
      <c r="A20" s="26">
        <v>6</v>
      </c>
      <c r="B20" s="26" t="s">
        <v>29</v>
      </c>
      <c r="C20" s="12">
        <v>2021</v>
      </c>
      <c r="D20" s="19">
        <v>0</v>
      </c>
      <c r="E20" s="13">
        <v>-94976000</v>
      </c>
      <c r="F20">
        <f t="shared" si="0"/>
        <v>0</v>
      </c>
    </row>
    <row r="21" spans="1:6" x14ac:dyDescent="0.35">
      <c r="A21" s="27"/>
      <c r="B21" s="27"/>
      <c r="C21" s="12">
        <v>2022</v>
      </c>
      <c r="D21" s="19">
        <v>0</v>
      </c>
      <c r="E21" s="13">
        <v>-117926000</v>
      </c>
      <c r="F21">
        <f t="shared" si="0"/>
        <v>0</v>
      </c>
    </row>
    <row r="22" spans="1:6" x14ac:dyDescent="0.35">
      <c r="A22" s="28"/>
      <c r="B22" s="28"/>
      <c r="C22" s="12">
        <v>2023</v>
      </c>
      <c r="D22" s="19">
        <v>0</v>
      </c>
      <c r="E22" s="13">
        <v>7819000</v>
      </c>
      <c r="F22">
        <f t="shared" si="0"/>
        <v>0</v>
      </c>
    </row>
    <row r="23" spans="1:6" x14ac:dyDescent="0.35">
      <c r="A23" s="26">
        <v>7</v>
      </c>
      <c r="B23" s="26" t="s">
        <v>33</v>
      </c>
      <c r="C23" s="12">
        <v>2021</v>
      </c>
      <c r="D23" s="19">
        <v>938687000</v>
      </c>
      <c r="E23" s="13">
        <v>482094181000</v>
      </c>
      <c r="F23">
        <f t="shared" si="0"/>
        <v>1.9471029458453472E-3</v>
      </c>
    </row>
    <row r="24" spans="1:6" x14ac:dyDescent="0.35">
      <c r="A24" s="27"/>
      <c r="B24" s="27"/>
      <c r="C24" s="12">
        <v>2022</v>
      </c>
      <c r="D24" s="19">
        <v>2450000000</v>
      </c>
      <c r="E24" s="13">
        <v>462277988000</v>
      </c>
      <c r="F24">
        <f t="shared" si="0"/>
        <v>5.2998413586588513E-3</v>
      </c>
    </row>
    <row r="25" spans="1:6" x14ac:dyDescent="0.35">
      <c r="A25" s="28"/>
      <c r="B25" s="28"/>
      <c r="C25" s="12">
        <v>2023</v>
      </c>
      <c r="D25" s="19">
        <v>9110692000</v>
      </c>
      <c r="E25" s="13">
        <v>711020516000</v>
      </c>
      <c r="F25">
        <f t="shared" si="0"/>
        <v>1.2813543062377683E-2</v>
      </c>
    </row>
    <row r="26" spans="1:6" x14ac:dyDescent="0.35">
      <c r="A26" s="26">
        <v>8</v>
      </c>
      <c r="B26" s="26" t="s">
        <v>36</v>
      </c>
      <c r="C26" s="12">
        <v>2021</v>
      </c>
      <c r="D26" s="19">
        <v>21364000000</v>
      </c>
      <c r="E26" s="13">
        <v>142135000000</v>
      </c>
      <c r="F26">
        <f t="shared" si="0"/>
        <v>0.15030780595912338</v>
      </c>
    </row>
    <row r="27" spans="1:6" x14ac:dyDescent="0.35">
      <c r="A27" s="27"/>
      <c r="B27" s="27"/>
      <c r="C27" s="12">
        <v>2022</v>
      </c>
      <c r="D27" s="19">
        <v>113000000000</v>
      </c>
      <c r="E27" s="13">
        <v>289798000000</v>
      </c>
      <c r="F27">
        <f t="shared" si="0"/>
        <v>0.38992677658230906</v>
      </c>
    </row>
    <row r="28" spans="1:6" x14ac:dyDescent="0.35">
      <c r="A28" s="28"/>
      <c r="B28" s="28"/>
      <c r="C28" s="12">
        <v>2023</v>
      </c>
      <c r="D28" s="19">
        <v>148887000000</v>
      </c>
      <c r="E28" s="13">
        <v>426991000000</v>
      </c>
      <c r="F28">
        <f t="shared" si="0"/>
        <v>0.34868884824270302</v>
      </c>
    </row>
    <row r="29" spans="1:6" x14ac:dyDescent="0.35">
      <c r="A29" s="26">
        <v>9</v>
      </c>
      <c r="B29" s="26" t="s">
        <v>39</v>
      </c>
      <c r="C29" s="12">
        <v>2021</v>
      </c>
      <c r="D29" s="19">
        <v>0</v>
      </c>
      <c r="E29" s="13">
        <v>-35293000000</v>
      </c>
      <c r="F29">
        <f t="shared" si="0"/>
        <v>0</v>
      </c>
    </row>
    <row r="30" spans="1:6" x14ac:dyDescent="0.35">
      <c r="A30" s="27"/>
      <c r="B30" s="27"/>
      <c r="C30" s="12">
        <v>2022</v>
      </c>
      <c r="D30" s="19">
        <v>0</v>
      </c>
      <c r="E30" s="13">
        <v>-8041000000</v>
      </c>
      <c r="F30">
        <f t="shared" si="0"/>
        <v>0</v>
      </c>
    </row>
    <row r="31" spans="1:6" x14ac:dyDescent="0.35">
      <c r="A31" s="28"/>
      <c r="B31" s="28"/>
      <c r="C31" s="12">
        <v>2023</v>
      </c>
      <c r="D31" s="19">
        <v>0</v>
      </c>
      <c r="E31" s="13">
        <v>-38431000000</v>
      </c>
      <c r="F31">
        <f t="shared" si="0"/>
        <v>0</v>
      </c>
    </row>
    <row r="32" spans="1:6" x14ac:dyDescent="0.35">
      <c r="A32" s="26">
        <v>10</v>
      </c>
      <c r="B32" s="26" t="s">
        <v>42</v>
      </c>
      <c r="C32" s="12">
        <v>2021</v>
      </c>
      <c r="D32" s="19">
        <v>0</v>
      </c>
      <c r="E32" s="13">
        <v>709337388000</v>
      </c>
      <c r="F32">
        <f t="shared" si="0"/>
        <v>0</v>
      </c>
    </row>
    <row r="33" spans="1:6" x14ac:dyDescent="0.35">
      <c r="A33" s="27"/>
      <c r="B33" s="27"/>
      <c r="C33" s="12">
        <v>2022</v>
      </c>
      <c r="D33" s="19">
        <v>0</v>
      </c>
      <c r="E33" s="13">
        <v>934586111000</v>
      </c>
      <c r="F33">
        <f t="shared" si="0"/>
        <v>0</v>
      </c>
    </row>
    <row r="34" spans="1:6" x14ac:dyDescent="0.35">
      <c r="A34" s="28"/>
      <c r="B34" s="28"/>
      <c r="C34" s="12">
        <v>2023</v>
      </c>
      <c r="D34" s="19">
        <v>0</v>
      </c>
      <c r="E34" s="13">
        <v>1055502615000</v>
      </c>
      <c r="F34">
        <f t="shared" si="0"/>
        <v>0</v>
      </c>
    </row>
    <row r="35" spans="1:6" x14ac:dyDescent="0.35">
      <c r="A35" s="26">
        <v>11</v>
      </c>
      <c r="B35" s="26" t="s">
        <v>45</v>
      </c>
      <c r="C35" s="12">
        <v>2021</v>
      </c>
      <c r="D35" s="19">
        <v>0</v>
      </c>
      <c r="E35" s="14"/>
      <c r="F35" t="e">
        <f t="shared" si="0"/>
        <v>#DIV/0!</v>
      </c>
    </row>
    <row r="36" spans="1:6" x14ac:dyDescent="0.35">
      <c r="A36" s="27"/>
      <c r="B36" s="27"/>
      <c r="C36" s="12">
        <v>2022</v>
      </c>
      <c r="D36" s="19">
        <v>0</v>
      </c>
      <c r="E36" s="13">
        <v>25989231574</v>
      </c>
      <c r="F36">
        <f t="shared" si="0"/>
        <v>0</v>
      </c>
    </row>
    <row r="37" spans="1:6" x14ac:dyDescent="0.35">
      <c r="A37" s="28"/>
      <c r="B37" s="28"/>
      <c r="C37" s="12">
        <v>2023</v>
      </c>
      <c r="D37" s="20">
        <v>0</v>
      </c>
      <c r="E37" s="13">
        <v>26158460547</v>
      </c>
      <c r="F37">
        <f t="shared" si="0"/>
        <v>0</v>
      </c>
    </row>
    <row r="38" spans="1:6" x14ac:dyDescent="0.35">
      <c r="A38" s="26">
        <v>12</v>
      </c>
      <c r="B38" s="26" t="s">
        <v>48</v>
      </c>
      <c r="C38" s="12">
        <v>2021</v>
      </c>
      <c r="D38" s="19">
        <v>0</v>
      </c>
      <c r="E38" s="13">
        <v>7839739770</v>
      </c>
      <c r="F38">
        <f t="shared" si="0"/>
        <v>0</v>
      </c>
    </row>
    <row r="39" spans="1:6" x14ac:dyDescent="0.35">
      <c r="A39" s="27"/>
      <c r="B39" s="27"/>
      <c r="C39" s="12">
        <v>2022</v>
      </c>
      <c r="D39" s="19">
        <v>0</v>
      </c>
      <c r="E39" s="13">
        <v>8237461209</v>
      </c>
      <c r="F39">
        <f t="shared" si="0"/>
        <v>0</v>
      </c>
    </row>
    <row r="40" spans="1:6" x14ac:dyDescent="0.35">
      <c r="A40" s="28"/>
      <c r="B40" s="28"/>
      <c r="C40" s="12">
        <v>2023</v>
      </c>
      <c r="D40" s="19">
        <v>0</v>
      </c>
      <c r="E40" s="13">
        <v>25147908797</v>
      </c>
      <c r="F40">
        <f t="shared" si="0"/>
        <v>0</v>
      </c>
    </row>
    <row r="41" spans="1:6" x14ac:dyDescent="0.35">
      <c r="A41" s="26">
        <v>13</v>
      </c>
      <c r="B41" s="26" t="s">
        <v>51</v>
      </c>
      <c r="C41" s="12">
        <v>2021</v>
      </c>
      <c r="D41" s="20">
        <v>338182000000</v>
      </c>
      <c r="E41" s="13">
        <v>1287807000000</v>
      </c>
      <c r="F41">
        <f t="shared" si="0"/>
        <v>0.26260301427154847</v>
      </c>
    </row>
    <row r="42" spans="1:6" x14ac:dyDescent="0.35">
      <c r="A42" s="27"/>
      <c r="B42" s="27"/>
      <c r="C42" s="12">
        <v>2022</v>
      </c>
      <c r="D42" s="20">
        <v>544078000000</v>
      </c>
      <c r="E42" s="13">
        <v>1121188000000</v>
      </c>
      <c r="F42">
        <f t="shared" si="0"/>
        <v>0.48526919660217555</v>
      </c>
    </row>
    <row r="43" spans="1:6" x14ac:dyDescent="0.35">
      <c r="A43" s="28"/>
      <c r="B43" s="28"/>
      <c r="C43" s="12">
        <v>2023</v>
      </c>
      <c r="D43" s="19">
        <v>549023000000</v>
      </c>
      <c r="E43" s="13">
        <v>1284448000000</v>
      </c>
      <c r="F43">
        <f t="shared" si="0"/>
        <v>0.42743886868133235</v>
      </c>
    </row>
    <row r="44" spans="1:6" x14ac:dyDescent="0.35">
      <c r="A44" s="26">
        <v>14</v>
      </c>
      <c r="B44" s="26" t="s">
        <v>57</v>
      </c>
      <c r="C44" s="12">
        <v>2021</v>
      </c>
      <c r="D44" s="19">
        <v>0</v>
      </c>
      <c r="E44" s="13">
        <v>-435325081365</v>
      </c>
      <c r="F44">
        <f t="shared" si="0"/>
        <v>0</v>
      </c>
    </row>
    <row r="45" spans="1:6" x14ac:dyDescent="0.35">
      <c r="A45" s="27"/>
      <c r="B45" s="27"/>
      <c r="C45" s="12">
        <v>2022</v>
      </c>
      <c r="D45" s="19">
        <v>0</v>
      </c>
      <c r="E45" s="13">
        <v>1064305000000</v>
      </c>
      <c r="F45">
        <f t="shared" si="0"/>
        <v>0</v>
      </c>
    </row>
    <row r="46" spans="1:6" x14ac:dyDescent="0.35">
      <c r="A46" s="28"/>
      <c r="B46" s="28"/>
      <c r="C46" s="12">
        <v>2023</v>
      </c>
      <c r="D46" s="19">
        <v>0</v>
      </c>
      <c r="E46" s="13">
        <v>-108952000000</v>
      </c>
      <c r="F46">
        <f t="shared" si="0"/>
        <v>0</v>
      </c>
    </row>
    <row r="47" spans="1:6" x14ac:dyDescent="0.35">
      <c r="A47" s="26">
        <v>15</v>
      </c>
      <c r="B47" s="26" t="s">
        <v>60</v>
      </c>
      <c r="C47" s="12">
        <v>2021</v>
      </c>
      <c r="D47" s="19">
        <v>27500000000</v>
      </c>
      <c r="E47" s="13">
        <v>89855831000</v>
      </c>
      <c r="F47">
        <f t="shared" si="0"/>
        <v>0.30604580352720795</v>
      </c>
    </row>
    <row r="48" spans="1:6" x14ac:dyDescent="0.35">
      <c r="A48" s="27"/>
      <c r="B48" s="27"/>
      <c r="C48" s="12">
        <v>2022</v>
      </c>
      <c r="D48" s="19">
        <v>55000000000</v>
      </c>
      <c r="E48" s="13">
        <v>90728112000</v>
      </c>
      <c r="F48">
        <f t="shared" si="0"/>
        <v>0.60620681713293012</v>
      </c>
    </row>
    <row r="49" spans="1:6" x14ac:dyDescent="0.35">
      <c r="A49" s="28"/>
      <c r="B49" s="28"/>
      <c r="C49" s="12">
        <v>2023</v>
      </c>
      <c r="D49" s="19">
        <v>70400000000</v>
      </c>
      <c r="E49" s="13">
        <v>100226779000</v>
      </c>
      <c r="F49">
        <f t="shared" si="0"/>
        <v>0.70240708822938425</v>
      </c>
    </row>
    <row r="50" spans="1:6" x14ac:dyDescent="0.35">
      <c r="A50" s="26">
        <v>16</v>
      </c>
      <c r="B50" s="26" t="s">
        <v>63</v>
      </c>
      <c r="C50" s="12">
        <v>2021</v>
      </c>
      <c r="D50" s="19">
        <v>0</v>
      </c>
      <c r="E50" s="15">
        <v>-127351803</v>
      </c>
      <c r="F50">
        <f t="shared" si="0"/>
        <v>0</v>
      </c>
    </row>
    <row r="51" spans="1:6" x14ac:dyDescent="0.35">
      <c r="A51" s="27"/>
      <c r="B51" s="27"/>
      <c r="C51" s="12">
        <v>2022</v>
      </c>
      <c r="D51" s="19">
        <v>0</v>
      </c>
      <c r="E51" s="15">
        <v>3628331</v>
      </c>
      <c r="F51">
        <f t="shared" si="0"/>
        <v>0</v>
      </c>
    </row>
    <row r="52" spans="1:6" x14ac:dyDescent="0.35">
      <c r="A52" s="28"/>
      <c r="B52" s="28"/>
      <c r="C52" s="12">
        <v>2023</v>
      </c>
      <c r="D52" s="19">
        <v>0</v>
      </c>
      <c r="E52" s="15">
        <v>20168689</v>
      </c>
      <c r="F52">
        <f t="shared" si="0"/>
        <v>0</v>
      </c>
    </row>
    <row r="53" spans="1:6" x14ac:dyDescent="0.35">
      <c r="A53" s="26">
        <v>17</v>
      </c>
      <c r="B53" s="26" t="s">
        <v>66</v>
      </c>
      <c r="C53" s="12">
        <v>2021</v>
      </c>
      <c r="D53" s="19">
        <v>0</v>
      </c>
      <c r="E53" s="13">
        <v>14604362000</v>
      </c>
      <c r="F53">
        <f t="shared" si="0"/>
        <v>0</v>
      </c>
    </row>
    <row r="54" spans="1:6" x14ac:dyDescent="0.35">
      <c r="A54" s="27"/>
      <c r="B54" s="27"/>
      <c r="C54" s="12">
        <v>2022</v>
      </c>
      <c r="D54" s="19">
        <v>0</v>
      </c>
      <c r="E54" s="13">
        <v>15998575000</v>
      </c>
      <c r="F54">
        <f t="shared" si="0"/>
        <v>0</v>
      </c>
    </row>
    <row r="55" spans="1:6" x14ac:dyDescent="0.35">
      <c r="A55" s="28"/>
      <c r="B55" s="28"/>
      <c r="C55" s="12">
        <v>2023</v>
      </c>
      <c r="D55" s="19">
        <v>0</v>
      </c>
      <c r="E55" s="13">
        <v>16198134000</v>
      </c>
      <c r="F55">
        <f t="shared" si="0"/>
        <v>0</v>
      </c>
    </row>
    <row r="56" spans="1:6" x14ac:dyDescent="0.35">
      <c r="A56" s="26">
        <v>18</v>
      </c>
      <c r="B56" s="26" t="s">
        <v>69</v>
      </c>
      <c r="C56" s="12">
        <v>2021</v>
      </c>
      <c r="D56" s="19">
        <v>0</v>
      </c>
      <c r="E56" s="13">
        <v>-312629750</v>
      </c>
      <c r="F56">
        <f t="shared" si="0"/>
        <v>0</v>
      </c>
    </row>
    <row r="57" spans="1:6" x14ac:dyDescent="0.35">
      <c r="A57" s="27"/>
      <c r="B57" s="27"/>
      <c r="C57" s="12">
        <v>2022</v>
      </c>
      <c r="D57" s="19">
        <v>0</v>
      </c>
      <c r="E57" s="13">
        <v>-282182801</v>
      </c>
      <c r="F57">
        <f t="shared" si="0"/>
        <v>0</v>
      </c>
    </row>
    <row r="58" spans="1:6" x14ac:dyDescent="0.35">
      <c r="A58" s="28"/>
      <c r="B58" s="28"/>
      <c r="C58" s="12">
        <v>2023</v>
      </c>
      <c r="D58" s="19">
        <v>0</v>
      </c>
      <c r="E58" s="13">
        <v>-677525763</v>
      </c>
      <c r="F58">
        <f t="shared" si="0"/>
        <v>0</v>
      </c>
    </row>
    <row r="59" spans="1:6" x14ac:dyDescent="0.35">
      <c r="A59" s="26">
        <v>19</v>
      </c>
      <c r="B59" s="26" t="s">
        <v>72</v>
      </c>
      <c r="C59" s="12">
        <v>2021</v>
      </c>
      <c r="D59" s="19">
        <v>0</v>
      </c>
      <c r="E59" s="13">
        <v>63351210259</v>
      </c>
      <c r="F59">
        <f t="shared" si="0"/>
        <v>0</v>
      </c>
    </row>
    <row r="60" spans="1:6" x14ac:dyDescent="0.35">
      <c r="A60" s="27"/>
      <c r="B60" s="27"/>
      <c r="C60" s="12">
        <v>2022</v>
      </c>
      <c r="D60" s="21">
        <v>834859244886</v>
      </c>
      <c r="E60" s="13">
        <v>41526767474</v>
      </c>
      <c r="F60">
        <f t="shared" si="0"/>
        <v>20.104123091418256</v>
      </c>
    </row>
    <row r="61" spans="1:6" x14ac:dyDescent="0.35">
      <c r="A61" s="28"/>
      <c r="B61" s="28"/>
      <c r="C61" s="12">
        <v>2023</v>
      </c>
      <c r="D61" s="19">
        <v>0</v>
      </c>
      <c r="E61" s="13">
        <v>38295115803</v>
      </c>
      <c r="F61">
        <f t="shared" si="0"/>
        <v>0</v>
      </c>
    </row>
    <row r="62" spans="1:6" x14ac:dyDescent="0.35">
      <c r="A62" s="26">
        <v>20</v>
      </c>
      <c r="B62" s="26" t="s">
        <v>75</v>
      </c>
      <c r="C62" s="12">
        <v>2021</v>
      </c>
      <c r="D62" s="21">
        <v>10015000000</v>
      </c>
      <c r="E62" s="13">
        <v>89466538244</v>
      </c>
      <c r="F62">
        <f t="shared" si="0"/>
        <v>0.11194129332115572</v>
      </c>
    </row>
    <row r="63" spans="1:6" x14ac:dyDescent="0.35">
      <c r="A63" s="27"/>
      <c r="B63" s="27"/>
      <c r="C63" s="12">
        <v>2022</v>
      </c>
      <c r="D63" s="21">
        <v>2003000000</v>
      </c>
      <c r="E63" s="13">
        <v>-1290895099</v>
      </c>
      <c r="F63">
        <f t="shared" si="0"/>
        <v>-1.5516365361923183</v>
      </c>
    </row>
    <row r="64" spans="1:6" x14ac:dyDescent="0.35">
      <c r="A64" s="28"/>
      <c r="B64" s="28"/>
      <c r="C64" s="12">
        <v>2023</v>
      </c>
      <c r="D64" s="21">
        <v>2003000000</v>
      </c>
      <c r="E64" s="13">
        <v>33177813391</v>
      </c>
      <c r="F64">
        <f t="shared" si="0"/>
        <v>6.0371669958917337E-2</v>
      </c>
    </row>
    <row r="65" spans="1:6" x14ac:dyDescent="0.35">
      <c r="A65" s="26">
        <v>21</v>
      </c>
      <c r="B65" s="26" t="s">
        <v>81</v>
      </c>
      <c r="C65" s="12">
        <v>2021</v>
      </c>
      <c r="D65">
        <v>0</v>
      </c>
      <c r="E65" s="13">
        <v>60056173000</v>
      </c>
      <c r="F65">
        <f t="shared" si="0"/>
        <v>0</v>
      </c>
    </row>
    <row r="66" spans="1:6" x14ac:dyDescent="0.35">
      <c r="A66" s="27"/>
      <c r="B66" s="27"/>
      <c r="C66" s="12">
        <v>2022</v>
      </c>
      <c r="D66" s="21">
        <v>64747225000</v>
      </c>
      <c r="E66" s="13">
        <v>161724767000</v>
      </c>
      <c r="F66">
        <f t="shared" si="0"/>
        <v>0.4003544181949571</v>
      </c>
    </row>
    <row r="67" spans="1:6" x14ac:dyDescent="0.35">
      <c r="A67" s="28"/>
      <c r="B67" s="28"/>
      <c r="C67" s="12">
        <v>2023</v>
      </c>
      <c r="D67" s="19">
        <v>129958177000</v>
      </c>
      <c r="E67" s="13">
        <v>190854844000</v>
      </c>
      <c r="F67">
        <f t="shared" si="0"/>
        <v>0.68092679376793808</v>
      </c>
    </row>
    <row r="68" spans="1:6" x14ac:dyDescent="0.35">
      <c r="A68" s="26">
        <v>22</v>
      </c>
      <c r="B68" s="26" t="s">
        <v>84</v>
      </c>
      <c r="C68" s="12">
        <v>2021</v>
      </c>
      <c r="D68" s="19">
        <v>71816854000</v>
      </c>
      <c r="E68" s="13">
        <v>136582720000</v>
      </c>
      <c r="F68">
        <f t="shared" si="0"/>
        <v>0.52581215251826874</v>
      </c>
    </row>
    <row r="69" spans="1:6" x14ac:dyDescent="0.35">
      <c r="A69" s="27"/>
      <c r="B69" s="27"/>
      <c r="C69" s="12">
        <v>2022</v>
      </c>
      <c r="D69" s="19">
        <v>110548360000</v>
      </c>
      <c r="E69" s="13">
        <v>150654849000</v>
      </c>
      <c r="F69">
        <f t="shared" si="0"/>
        <v>0.73378560818842276</v>
      </c>
    </row>
    <row r="70" spans="1:6" x14ac:dyDescent="0.35">
      <c r="A70" s="28"/>
      <c r="B70" s="28"/>
      <c r="C70" s="12">
        <v>2023</v>
      </c>
      <c r="D70" s="19">
        <v>113661654000</v>
      </c>
      <c r="E70" s="13">
        <v>157661988000</v>
      </c>
      <c r="F70">
        <f t="shared" ref="F70:F133" si="1">D70/E70</f>
        <v>0.72091983262319381</v>
      </c>
    </row>
    <row r="71" spans="1:6" x14ac:dyDescent="0.35">
      <c r="A71" s="26">
        <v>23</v>
      </c>
      <c r="B71" s="26" t="s">
        <v>87</v>
      </c>
      <c r="C71" s="12">
        <v>2021</v>
      </c>
      <c r="D71" s="19">
        <v>9533629000000</v>
      </c>
      <c r="E71" s="13">
        <v>6860121000000</v>
      </c>
      <c r="F71">
        <f t="shared" si="1"/>
        <v>1.3897173242279546</v>
      </c>
    </row>
    <row r="72" spans="1:6" x14ac:dyDescent="0.35">
      <c r="A72" s="27"/>
      <c r="B72" s="27"/>
      <c r="C72" s="12">
        <v>2022</v>
      </c>
      <c r="D72" s="19">
        <v>2040572000000</v>
      </c>
      <c r="E72" s="13">
        <v>5370203000000</v>
      </c>
      <c r="F72">
        <f t="shared" si="1"/>
        <v>0.37998042159672546</v>
      </c>
    </row>
    <row r="73" spans="1:6" x14ac:dyDescent="0.35">
      <c r="A73" s="28"/>
      <c r="B73" s="28"/>
      <c r="C73" s="12">
        <v>2023</v>
      </c>
      <c r="D73" s="19">
        <v>2395741000000</v>
      </c>
      <c r="E73" s="13">
        <v>4775741000000</v>
      </c>
      <c r="F73">
        <f t="shared" si="1"/>
        <v>0.50164801650675783</v>
      </c>
    </row>
    <row r="74" spans="1:6" x14ac:dyDescent="0.35">
      <c r="A74" s="26">
        <v>24</v>
      </c>
      <c r="B74" s="26" t="s">
        <v>90</v>
      </c>
      <c r="C74" s="12">
        <v>2021</v>
      </c>
      <c r="D74" s="19">
        <v>0</v>
      </c>
      <c r="E74" s="13">
        <v>7940186118</v>
      </c>
      <c r="F74">
        <f t="shared" si="1"/>
        <v>0</v>
      </c>
    </row>
    <row r="75" spans="1:6" x14ac:dyDescent="0.35">
      <c r="A75" s="27"/>
      <c r="B75" s="27"/>
      <c r="C75" s="12">
        <v>2022</v>
      </c>
      <c r="D75" s="19">
        <v>293566950</v>
      </c>
      <c r="E75" s="13">
        <v>-10024824912</v>
      </c>
      <c r="F75">
        <f t="shared" si="1"/>
        <v>-2.9283997733326197E-2</v>
      </c>
    </row>
    <row r="76" spans="1:6" x14ac:dyDescent="0.35">
      <c r="A76" s="28"/>
      <c r="B76" s="28"/>
      <c r="C76" s="12">
        <v>2023</v>
      </c>
      <c r="D76" s="19">
        <v>0</v>
      </c>
      <c r="E76" s="13">
        <v>1164576114</v>
      </c>
      <c r="F76">
        <f t="shared" si="1"/>
        <v>0</v>
      </c>
    </row>
    <row r="77" spans="1:6" x14ac:dyDescent="0.35">
      <c r="A77" s="26">
        <v>25</v>
      </c>
      <c r="B77" s="26" t="s">
        <v>93</v>
      </c>
      <c r="C77" s="12">
        <v>2021</v>
      </c>
      <c r="D77" s="19">
        <v>450052000</v>
      </c>
      <c r="E77" s="13">
        <v>-37110098000</v>
      </c>
      <c r="F77">
        <f t="shared" si="1"/>
        <v>-1.2127480773561955E-2</v>
      </c>
    </row>
    <row r="78" spans="1:6" x14ac:dyDescent="0.35">
      <c r="A78" s="27"/>
      <c r="B78" s="27"/>
      <c r="C78" s="12">
        <v>2022</v>
      </c>
      <c r="D78" s="19">
        <v>5264000</v>
      </c>
      <c r="E78" s="13">
        <v>201656509000</v>
      </c>
      <c r="F78">
        <f t="shared" si="1"/>
        <v>2.6103794150279572E-5</v>
      </c>
    </row>
    <row r="79" spans="1:6" x14ac:dyDescent="0.35">
      <c r="A79" s="28"/>
      <c r="B79" s="28"/>
      <c r="C79" s="12">
        <v>2023</v>
      </c>
      <c r="D79" s="19">
        <v>4166000</v>
      </c>
      <c r="E79" s="13">
        <v>241814791000</v>
      </c>
      <c r="F79">
        <f t="shared" si="1"/>
        <v>1.7228061123854081E-5</v>
      </c>
    </row>
    <row r="80" spans="1:6" x14ac:dyDescent="0.35">
      <c r="A80" s="26">
        <v>26</v>
      </c>
      <c r="B80" s="26" t="s">
        <v>96</v>
      </c>
      <c r="C80" s="12">
        <v>2021</v>
      </c>
      <c r="D80" s="19">
        <v>148000000</v>
      </c>
      <c r="E80" s="13">
        <v>871236000000</v>
      </c>
      <c r="F80">
        <f t="shared" si="1"/>
        <v>1.6987360485563039E-4</v>
      </c>
    </row>
    <row r="81" spans="1:6" x14ac:dyDescent="0.35">
      <c r="A81" s="27"/>
      <c r="B81" s="27"/>
      <c r="C81" s="12">
        <v>2022</v>
      </c>
      <c r="D81" s="19">
        <v>203000000</v>
      </c>
      <c r="E81" s="13">
        <v>2323708000000</v>
      </c>
      <c r="F81">
        <f t="shared" si="1"/>
        <v>8.7360374022897889E-5</v>
      </c>
    </row>
    <row r="82" spans="1:6" x14ac:dyDescent="0.35">
      <c r="A82" s="28"/>
      <c r="B82" s="28"/>
      <c r="C82" s="12">
        <v>2023</v>
      </c>
      <c r="D82" s="19">
        <v>555402000000</v>
      </c>
      <c r="E82" s="13">
        <v>6749489000000</v>
      </c>
      <c r="F82">
        <f t="shared" si="1"/>
        <v>8.2288007284699621E-2</v>
      </c>
    </row>
    <row r="83" spans="1:6" x14ac:dyDescent="0.35">
      <c r="A83" s="26">
        <v>27</v>
      </c>
      <c r="B83" s="26" t="s">
        <v>99</v>
      </c>
      <c r="C83" s="12">
        <v>2021</v>
      </c>
      <c r="D83" s="19">
        <v>0</v>
      </c>
      <c r="E83" s="15">
        <v>-588325</v>
      </c>
      <c r="F83">
        <f t="shared" si="1"/>
        <v>0</v>
      </c>
    </row>
    <row r="84" spans="1:6" x14ac:dyDescent="0.35">
      <c r="A84" s="27"/>
      <c r="B84" s="27"/>
      <c r="C84" s="12">
        <v>2022</v>
      </c>
      <c r="D84" s="19">
        <v>0</v>
      </c>
      <c r="E84" s="15">
        <v>955529</v>
      </c>
      <c r="F84">
        <f t="shared" si="1"/>
        <v>0</v>
      </c>
    </row>
    <row r="85" spans="1:6" x14ac:dyDescent="0.35">
      <c r="A85" s="28"/>
      <c r="B85" s="28"/>
      <c r="C85" s="12">
        <v>2023</v>
      </c>
      <c r="D85" s="19">
        <v>0</v>
      </c>
      <c r="E85" s="15">
        <v>1201795</v>
      </c>
      <c r="F85">
        <f t="shared" si="1"/>
        <v>0</v>
      </c>
    </row>
    <row r="86" spans="1:6" x14ac:dyDescent="0.35">
      <c r="A86" s="26">
        <v>28</v>
      </c>
      <c r="B86" s="26" t="s">
        <v>102</v>
      </c>
      <c r="C86" s="12">
        <v>2021</v>
      </c>
      <c r="D86" s="19">
        <v>82054000000</v>
      </c>
      <c r="E86" s="13">
        <v>-1265864000000</v>
      </c>
      <c r="F86">
        <f t="shared" si="1"/>
        <v>-6.4820549442910144E-2</v>
      </c>
    </row>
    <row r="87" spans="1:6" x14ac:dyDescent="0.35">
      <c r="A87" s="27"/>
      <c r="B87" s="27"/>
      <c r="C87" s="12">
        <v>2022</v>
      </c>
      <c r="D87" s="19">
        <v>0</v>
      </c>
      <c r="E87" s="13">
        <v>-281170000000</v>
      </c>
      <c r="F87">
        <f t="shared" si="1"/>
        <v>0</v>
      </c>
    </row>
    <row r="88" spans="1:6" x14ac:dyDescent="0.35">
      <c r="A88" s="28"/>
      <c r="B88" s="28"/>
      <c r="C88" s="12">
        <v>2023</v>
      </c>
      <c r="D88" s="19">
        <v>0</v>
      </c>
      <c r="E88" s="13">
        <v>-78124000000</v>
      </c>
      <c r="F88">
        <f t="shared" si="1"/>
        <v>0</v>
      </c>
    </row>
    <row r="89" spans="1:6" x14ac:dyDescent="0.35">
      <c r="A89" s="26">
        <v>29</v>
      </c>
      <c r="B89" s="26" t="s">
        <v>105</v>
      </c>
      <c r="C89" s="12">
        <v>2021</v>
      </c>
      <c r="D89" s="19">
        <v>1625000</v>
      </c>
      <c r="E89" s="15">
        <v>7999468</v>
      </c>
      <c r="F89">
        <f t="shared" si="1"/>
        <v>0.20313850871082928</v>
      </c>
    </row>
    <row r="90" spans="1:6" x14ac:dyDescent="0.35">
      <c r="A90" s="27"/>
      <c r="B90" s="27"/>
      <c r="C90" s="12">
        <v>2022</v>
      </c>
      <c r="D90" s="19">
        <v>2475000</v>
      </c>
      <c r="E90" s="15">
        <v>14481339</v>
      </c>
      <c r="F90">
        <f t="shared" si="1"/>
        <v>0.17090960994698073</v>
      </c>
    </row>
    <row r="91" spans="1:6" x14ac:dyDescent="0.35">
      <c r="A91" s="28"/>
      <c r="B91" s="28"/>
      <c r="C91" s="12">
        <v>2023</v>
      </c>
      <c r="D91" s="19">
        <v>2783291</v>
      </c>
      <c r="E91" s="15">
        <v>14823349</v>
      </c>
      <c r="F91">
        <f t="shared" si="1"/>
        <v>0.18776397965129202</v>
      </c>
    </row>
    <row r="92" spans="1:6" x14ac:dyDescent="0.35">
      <c r="A92" s="26">
        <v>30</v>
      </c>
      <c r="B92" s="26" t="s">
        <v>117</v>
      </c>
      <c r="C92" s="12">
        <v>2021</v>
      </c>
      <c r="D92" s="19">
        <v>500000000</v>
      </c>
      <c r="E92" s="13">
        <v>1647206699</v>
      </c>
      <c r="F92">
        <f t="shared" si="1"/>
        <v>0.30354417590915833</v>
      </c>
    </row>
    <row r="93" spans="1:6" x14ac:dyDescent="0.35">
      <c r="A93" s="27"/>
      <c r="B93" s="27"/>
      <c r="C93" s="12">
        <v>2022</v>
      </c>
      <c r="D93" s="19">
        <v>218000000</v>
      </c>
      <c r="E93" s="13">
        <v>702210466</v>
      </c>
      <c r="F93">
        <f t="shared" si="1"/>
        <v>0.31044823533006127</v>
      </c>
    </row>
    <row r="94" spans="1:6" x14ac:dyDescent="0.35">
      <c r="A94" s="28"/>
      <c r="B94" s="28"/>
      <c r="C94" s="12">
        <v>2023</v>
      </c>
      <c r="D94" s="19">
        <v>0</v>
      </c>
      <c r="E94" s="13">
        <v>71468852</v>
      </c>
      <c r="F94">
        <f t="shared" si="1"/>
        <v>0</v>
      </c>
    </row>
    <row r="95" spans="1:6" x14ac:dyDescent="0.35">
      <c r="A95" s="26">
        <v>31</v>
      </c>
      <c r="B95" s="26" t="s">
        <v>120</v>
      </c>
      <c r="C95" s="12">
        <v>2021</v>
      </c>
      <c r="D95" s="19">
        <v>282587000000</v>
      </c>
      <c r="E95" s="13">
        <v>885319000000</v>
      </c>
      <c r="F95">
        <f t="shared" si="1"/>
        <v>0.31919229114025566</v>
      </c>
    </row>
    <row r="96" spans="1:6" x14ac:dyDescent="0.35">
      <c r="A96" s="27"/>
      <c r="B96" s="27"/>
      <c r="C96" s="12">
        <v>2022</v>
      </c>
      <c r="D96" s="19">
        <v>531193000000</v>
      </c>
      <c r="E96" s="13">
        <v>240718000000</v>
      </c>
      <c r="F96">
        <f t="shared" si="1"/>
        <v>2.2067024485082127</v>
      </c>
    </row>
    <row r="97" spans="1:6" x14ac:dyDescent="0.35">
      <c r="A97" s="28"/>
      <c r="B97" s="28"/>
      <c r="C97" s="12">
        <v>2023</v>
      </c>
      <c r="D97" s="19">
        <v>124949000000</v>
      </c>
      <c r="E97" s="13">
        <v>-532983000000</v>
      </c>
      <c r="F97">
        <f t="shared" si="1"/>
        <v>-0.23443336841888016</v>
      </c>
    </row>
    <row r="98" spans="1:6" x14ac:dyDescent="0.35">
      <c r="A98" s="26">
        <v>32</v>
      </c>
      <c r="B98" s="26" t="s">
        <v>123</v>
      </c>
      <c r="C98" s="12">
        <v>2021</v>
      </c>
      <c r="D98" s="19">
        <v>0</v>
      </c>
      <c r="E98" s="14"/>
      <c r="F98" t="e">
        <f t="shared" si="1"/>
        <v>#DIV/0!</v>
      </c>
    </row>
    <row r="99" spans="1:6" x14ac:dyDescent="0.35">
      <c r="A99" s="27"/>
      <c r="B99" s="27"/>
      <c r="C99" s="12">
        <v>2022</v>
      </c>
      <c r="D99" s="19">
        <v>0</v>
      </c>
      <c r="E99" s="13">
        <v>-10626160057</v>
      </c>
      <c r="F99">
        <f t="shared" si="1"/>
        <v>0</v>
      </c>
    </row>
    <row r="100" spans="1:6" x14ac:dyDescent="0.35">
      <c r="A100" s="28"/>
      <c r="B100" s="28"/>
      <c r="C100" s="12">
        <v>2023</v>
      </c>
      <c r="D100" s="19">
        <v>0</v>
      </c>
      <c r="E100" s="13">
        <v>1172713385</v>
      </c>
      <c r="F100">
        <f t="shared" si="1"/>
        <v>0</v>
      </c>
    </row>
    <row r="101" spans="1:6" x14ac:dyDescent="0.35">
      <c r="A101" s="26">
        <v>33</v>
      </c>
      <c r="B101" s="26" t="s">
        <v>127</v>
      </c>
      <c r="C101" s="12">
        <v>2021</v>
      </c>
      <c r="D101" s="19">
        <v>10342832639</v>
      </c>
      <c r="E101" s="13">
        <v>25760949227</v>
      </c>
      <c r="F101">
        <f t="shared" si="1"/>
        <v>0.40149268366864749</v>
      </c>
    </row>
    <row r="102" spans="1:6" x14ac:dyDescent="0.35">
      <c r="A102" s="27"/>
      <c r="B102" s="27"/>
      <c r="C102" s="12">
        <v>2022</v>
      </c>
      <c r="D102" s="19">
        <v>0</v>
      </c>
      <c r="E102" s="13">
        <v>122464831778</v>
      </c>
      <c r="F102">
        <f t="shared" si="1"/>
        <v>0</v>
      </c>
    </row>
    <row r="103" spans="1:6" x14ac:dyDescent="0.35">
      <c r="A103" s="28"/>
      <c r="B103" s="28"/>
      <c r="C103" s="12">
        <v>2023</v>
      </c>
      <c r="D103" s="19">
        <v>3321000000</v>
      </c>
      <c r="E103" s="13">
        <v>-235872678948</v>
      </c>
      <c r="F103">
        <f t="shared" si="1"/>
        <v>-1.4079629802026121E-2</v>
      </c>
    </row>
    <row r="104" spans="1:6" x14ac:dyDescent="0.35">
      <c r="A104" s="26">
        <v>34</v>
      </c>
      <c r="B104" s="26" t="s">
        <v>133</v>
      </c>
      <c r="C104" s="12">
        <v>2021</v>
      </c>
      <c r="D104" s="19">
        <v>0</v>
      </c>
      <c r="E104" s="13">
        <v>2504958000</v>
      </c>
      <c r="F104">
        <f t="shared" si="1"/>
        <v>0</v>
      </c>
    </row>
    <row r="105" spans="1:6" x14ac:dyDescent="0.35">
      <c r="A105" s="27"/>
      <c r="B105" s="27"/>
      <c r="C105" s="12">
        <v>2022</v>
      </c>
      <c r="D105" s="19">
        <v>0</v>
      </c>
      <c r="E105" s="13">
        <v>-10912508000</v>
      </c>
      <c r="F105">
        <f t="shared" si="1"/>
        <v>0</v>
      </c>
    </row>
    <row r="106" spans="1:6" x14ac:dyDescent="0.35">
      <c r="A106" s="28"/>
      <c r="B106" s="28"/>
      <c r="C106" s="12">
        <v>2023</v>
      </c>
      <c r="D106" s="19">
        <v>0</v>
      </c>
      <c r="E106" s="13">
        <v>-3349542000</v>
      </c>
      <c r="F106">
        <f t="shared" si="1"/>
        <v>0</v>
      </c>
    </row>
    <row r="107" spans="1:6" x14ac:dyDescent="0.35">
      <c r="A107" s="26">
        <v>35</v>
      </c>
      <c r="B107" s="26" t="s">
        <v>139</v>
      </c>
      <c r="C107" s="12">
        <v>2021</v>
      </c>
      <c r="D107" s="19">
        <v>0</v>
      </c>
      <c r="E107" s="13">
        <v>-231605648837</v>
      </c>
      <c r="F107">
        <f t="shared" si="1"/>
        <v>0</v>
      </c>
    </row>
    <row r="108" spans="1:6" x14ac:dyDescent="0.35">
      <c r="A108" s="27"/>
      <c r="B108" s="27"/>
      <c r="C108" s="12">
        <v>2022</v>
      </c>
      <c r="D108" s="19">
        <v>0</v>
      </c>
      <c r="E108" s="13">
        <v>-43214092565</v>
      </c>
      <c r="F108">
        <f t="shared" si="1"/>
        <v>0</v>
      </c>
    </row>
    <row r="109" spans="1:6" x14ac:dyDescent="0.35">
      <c r="A109" s="28"/>
      <c r="B109" s="28"/>
      <c r="C109" s="12">
        <v>2023</v>
      </c>
      <c r="D109" s="19">
        <v>0</v>
      </c>
      <c r="E109" s="13">
        <v>-15891633745</v>
      </c>
      <c r="F109">
        <f t="shared" si="1"/>
        <v>0</v>
      </c>
    </row>
    <row r="110" spans="1:6" x14ac:dyDescent="0.35">
      <c r="A110" s="26">
        <v>36</v>
      </c>
      <c r="B110" s="26" t="s">
        <v>142</v>
      </c>
      <c r="C110" s="12">
        <v>2021</v>
      </c>
      <c r="D110" s="19">
        <v>0</v>
      </c>
      <c r="E110" s="14"/>
      <c r="F110" t="e">
        <f t="shared" si="1"/>
        <v>#DIV/0!</v>
      </c>
    </row>
    <row r="111" spans="1:6" x14ac:dyDescent="0.35">
      <c r="A111" s="27"/>
      <c r="B111" s="27"/>
      <c r="C111" s="12">
        <v>2022</v>
      </c>
      <c r="D111" s="19">
        <v>0</v>
      </c>
      <c r="E111" s="14"/>
      <c r="F111" t="e">
        <f t="shared" si="1"/>
        <v>#DIV/0!</v>
      </c>
    </row>
    <row r="112" spans="1:6" x14ac:dyDescent="0.35">
      <c r="A112" s="28"/>
      <c r="B112" s="28"/>
      <c r="C112" s="12">
        <v>2023</v>
      </c>
      <c r="D112" s="19">
        <v>0</v>
      </c>
      <c r="E112" s="14"/>
      <c r="F112" t="e">
        <f t="shared" si="1"/>
        <v>#DIV/0!</v>
      </c>
    </row>
    <row r="113" spans="1:6" x14ac:dyDescent="0.35">
      <c r="A113" s="26">
        <v>37</v>
      </c>
      <c r="B113" s="26" t="s">
        <v>145</v>
      </c>
      <c r="C113" s="12">
        <v>2021</v>
      </c>
      <c r="D113" s="19">
        <v>36256175160</v>
      </c>
      <c r="E113" s="13">
        <v>51648101245</v>
      </c>
      <c r="F113">
        <f t="shared" si="1"/>
        <v>0.70198466712287755</v>
      </c>
    </row>
    <row r="114" spans="1:6" x14ac:dyDescent="0.35">
      <c r="A114" s="27"/>
      <c r="B114" s="27"/>
      <c r="C114" s="12">
        <v>2022</v>
      </c>
      <c r="D114" s="19">
        <v>36256175160</v>
      </c>
      <c r="E114" s="13">
        <v>74670162517</v>
      </c>
      <c r="F114">
        <f t="shared" si="1"/>
        <v>0.48555104124416004</v>
      </c>
    </row>
    <row r="115" spans="1:6" x14ac:dyDescent="0.35">
      <c r="A115" s="28"/>
      <c r="B115" s="28"/>
      <c r="C115" s="12">
        <v>2023</v>
      </c>
      <c r="D115" s="22">
        <v>101517290448</v>
      </c>
      <c r="E115" s="13">
        <v>99508842135</v>
      </c>
      <c r="F115">
        <f t="shared" si="1"/>
        <v>1.0201836165501275</v>
      </c>
    </row>
    <row r="116" spans="1:6" x14ac:dyDescent="0.35">
      <c r="A116" s="26">
        <v>38</v>
      </c>
      <c r="B116" s="26" t="s">
        <v>148</v>
      </c>
      <c r="C116" s="12">
        <v>2021</v>
      </c>
      <c r="D116" s="19">
        <v>0</v>
      </c>
      <c r="E116" s="17">
        <v>1300803896</v>
      </c>
      <c r="F116">
        <f t="shared" si="1"/>
        <v>0</v>
      </c>
    </row>
    <row r="117" spans="1:6" x14ac:dyDescent="0.35">
      <c r="A117" s="27"/>
      <c r="B117" s="27"/>
      <c r="C117" s="12">
        <v>2022</v>
      </c>
      <c r="D117" s="19">
        <v>0</v>
      </c>
      <c r="E117" s="17">
        <v>4401532013</v>
      </c>
      <c r="F117">
        <f t="shared" si="1"/>
        <v>0</v>
      </c>
    </row>
    <row r="118" spans="1:6" x14ac:dyDescent="0.35">
      <c r="A118" s="28"/>
      <c r="B118" s="28"/>
      <c r="C118" s="12">
        <v>2023</v>
      </c>
      <c r="D118" s="19">
        <v>0</v>
      </c>
      <c r="E118" s="17">
        <v>2562783819</v>
      </c>
      <c r="F118">
        <f t="shared" si="1"/>
        <v>0</v>
      </c>
    </row>
    <row r="119" spans="1:6" x14ac:dyDescent="0.35">
      <c r="A119" s="26">
        <v>39</v>
      </c>
      <c r="B119" s="26" t="s">
        <v>151</v>
      </c>
      <c r="C119" s="12">
        <v>2021</v>
      </c>
      <c r="D119" s="19">
        <v>40500000000</v>
      </c>
      <c r="E119" s="13">
        <v>83315829281</v>
      </c>
      <c r="F119">
        <f t="shared" si="1"/>
        <v>0.48610210508024004</v>
      </c>
    </row>
    <row r="120" spans="1:6" x14ac:dyDescent="0.35">
      <c r="A120" s="27"/>
      <c r="B120" s="27"/>
      <c r="C120" s="12">
        <v>2022</v>
      </c>
      <c r="D120" s="19">
        <v>70500000000</v>
      </c>
      <c r="E120" s="13">
        <v>133988085819</v>
      </c>
      <c r="F120">
        <f t="shared" si="1"/>
        <v>0.52616618536692938</v>
      </c>
    </row>
    <row r="121" spans="1:6" x14ac:dyDescent="0.35">
      <c r="A121" s="28"/>
      <c r="B121" s="28"/>
      <c r="C121" s="12">
        <v>2023</v>
      </c>
      <c r="D121" s="22">
        <v>240000000000</v>
      </c>
      <c r="E121" s="13">
        <v>192742530687</v>
      </c>
      <c r="F121">
        <f t="shared" si="1"/>
        <v>1.2451844392857057</v>
      </c>
    </row>
    <row r="122" spans="1:6" x14ac:dyDescent="0.35">
      <c r="A122" s="26">
        <v>40</v>
      </c>
      <c r="B122" s="26" t="s">
        <v>157</v>
      </c>
      <c r="C122" s="12">
        <v>2021</v>
      </c>
      <c r="D122" s="19">
        <v>0</v>
      </c>
      <c r="E122" s="13">
        <v>-83115147000</v>
      </c>
      <c r="F122">
        <f t="shared" si="1"/>
        <v>0</v>
      </c>
    </row>
    <row r="123" spans="1:6" x14ac:dyDescent="0.35">
      <c r="A123" s="27"/>
      <c r="B123" s="27"/>
      <c r="C123" s="12">
        <v>2022</v>
      </c>
      <c r="D123" s="19">
        <v>0</v>
      </c>
      <c r="E123" s="13">
        <v>16968864000</v>
      </c>
      <c r="F123">
        <f t="shared" si="1"/>
        <v>0</v>
      </c>
    </row>
    <row r="124" spans="1:6" x14ac:dyDescent="0.35">
      <c r="A124" s="28"/>
      <c r="B124" s="28"/>
      <c r="C124" s="12">
        <v>2023</v>
      </c>
      <c r="D124" s="19">
        <v>0</v>
      </c>
      <c r="E124" s="13">
        <v>65343539000</v>
      </c>
      <c r="F124">
        <f t="shared" si="1"/>
        <v>0</v>
      </c>
    </row>
    <row r="125" spans="1:6" x14ac:dyDescent="0.35">
      <c r="A125" s="26">
        <v>41</v>
      </c>
      <c r="B125" s="26" t="s">
        <v>160</v>
      </c>
      <c r="C125" s="12">
        <v>2021</v>
      </c>
      <c r="D125" s="19">
        <v>63558508</v>
      </c>
      <c r="E125" s="15">
        <v>90439790</v>
      </c>
      <c r="F125">
        <f t="shared" si="1"/>
        <v>0.70277151240620972</v>
      </c>
    </row>
    <row r="126" spans="1:6" x14ac:dyDescent="0.35">
      <c r="A126" s="27"/>
      <c r="B126" s="27"/>
      <c r="C126" s="12">
        <v>2022</v>
      </c>
      <c r="D126" s="19">
        <v>67873126</v>
      </c>
      <c r="E126" s="15">
        <v>72535694</v>
      </c>
      <c r="F126">
        <f t="shared" si="1"/>
        <v>0.93572036410101767</v>
      </c>
    </row>
    <row r="127" spans="1:6" x14ac:dyDescent="0.35">
      <c r="A127" s="28"/>
      <c r="B127" s="28"/>
      <c r="C127" s="12">
        <v>2023</v>
      </c>
      <c r="D127" s="19">
        <v>74838811</v>
      </c>
      <c r="E127" s="15">
        <v>76976795</v>
      </c>
      <c r="F127">
        <f t="shared" si="1"/>
        <v>0.97222560383294732</v>
      </c>
    </row>
    <row r="128" spans="1:6" x14ac:dyDescent="0.35">
      <c r="A128" s="26">
        <v>42</v>
      </c>
      <c r="B128" s="26" t="s">
        <v>163</v>
      </c>
      <c r="C128" s="12">
        <v>2021</v>
      </c>
      <c r="D128" s="22">
        <v>11713871788</v>
      </c>
      <c r="E128" s="13">
        <v>146813185337</v>
      </c>
      <c r="F128">
        <f t="shared" si="1"/>
        <v>7.9787600555846383E-2</v>
      </c>
    </row>
    <row r="129" spans="1:6" x14ac:dyDescent="0.35">
      <c r="A129" s="27"/>
      <c r="B129" s="27"/>
      <c r="C129" s="12">
        <v>2022</v>
      </c>
      <c r="D129" s="19">
        <v>7692916304</v>
      </c>
      <c r="E129" s="13">
        <v>181661615624</v>
      </c>
      <c r="F129">
        <f t="shared" si="1"/>
        <v>4.2347505704907203E-2</v>
      </c>
    </row>
    <row r="130" spans="1:6" x14ac:dyDescent="0.35">
      <c r="A130" s="28"/>
      <c r="B130" s="28"/>
      <c r="C130" s="12">
        <v>2023</v>
      </c>
      <c r="D130" s="19">
        <v>16181992217</v>
      </c>
      <c r="E130" s="13">
        <v>172781270069</v>
      </c>
      <c r="F130">
        <f t="shared" si="1"/>
        <v>9.3655939735468666E-2</v>
      </c>
    </row>
    <row r="131" spans="1:6" x14ac:dyDescent="0.35">
      <c r="A131" s="26">
        <v>43</v>
      </c>
      <c r="B131" s="26" t="s">
        <v>166</v>
      </c>
      <c r="C131" s="12">
        <v>2021</v>
      </c>
      <c r="D131" s="19">
        <v>0</v>
      </c>
      <c r="E131" s="13">
        <v>3013975528</v>
      </c>
      <c r="F131">
        <f t="shared" si="1"/>
        <v>0</v>
      </c>
    </row>
    <row r="132" spans="1:6" x14ac:dyDescent="0.35">
      <c r="A132" s="27"/>
      <c r="B132" s="27"/>
      <c r="C132" s="12">
        <v>2022</v>
      </c>
      <c r="D132" s="19">
        <v>0</v>
      </c>
      <c r="E132" s="13">
        <v>-65531004469</v>
      </c>
      <c r="F132">
        <f t="shared" si="1"/>
        <v>0</v>
      </c>
    </row>
    <row r="133" spans="1:6" x14ac:dyDescent="0.35">
      <c r="A133" s="28"/>
      <c r="B133" s="28"/>
      <c r="C133" s="12">
        <v>2023</v>
      </c>
      <c r="D133" s="19">
        <v>0</v>
      </c>
      <c r="E133" s="13">
        <v>-33781303948</v>
      </c>
      <c r="F133">
        <f t="shared" si="1"/>
        <v>0</v>
      </c>
    </row>
    <row r="134" spans="1:6" x14ac:dyDescent="0.35">
      <c r="A134" s="26">
        <v>44</v>
      </c>
      <c r="B134" s="26" t="s">
        <v>169</v>
      </c>
      <c r="C134" s="12">
        <v>2021</v>
      </c>
      <c r="D134" s="19">
        <v>0</v>
      </c>
      <c r="E134" s="13">
        <v>361421984159</v>
      </c>
      <c r="F134">
        <f t="shared" ref="F134:F178" si="2">D134/E134</f>
        <v>0</v>
      </c>
    </row>
    <row r="135" spans="1:6" x14ac:dyDescent="0.35">
      <c r="A135" s="27"/>
      <c r="B135" s="27"/>
      <c r="C135" s="12">
        <v>2022</v>
      </c>
      <c r="D135" s="19">
        <v>0</v>
      </c>
      <c r="E135" s="13">
        <v>365741731064</v>
      </c>
      <c r="F135">
        <f t="shared" si="2"/>
        <v>0</v>
      </c>
    </row>
    <row r="136" spans="1:6" x14ac:dyDescent="0.35">
      <c r="A136" s="28"/>
      <c r="B136" s="28"/>
      <c r="C136" s="12">
        <v>2023</v>
      </c>
      <c r="D136" s="19">
        <v>16181992217</v>
      </c>
      <c r="E136" s="13">
        <v>127089519355</v>
      </c>
      <c r="F136">
        <f t="shared" si="2"/>
        <v>0.12732751134103146</v>
      </c>
    </row>
    <row r="137" spans="1:6" x14ac:dyDescent="0.35">
      <c r="A137" s="26">
        <v>45</v>
      </c>
      <c r="B137" s="26" t="s">
        <v>172</v>
      </c>
      <c r="C137" s="12">
        <v>2021</v>
      </c>
      <c r="D137" s="19">
        <v>0</v>
      </c>
      <c r="E137" s="13">
        <v>52047642440</v>
      </c>
      <c r="F137">
        <f t="shared" si="2"/>
        <v>0</v>
      </c>
    </row>
    <row r="138" spans="1:6" x14ac:dyDescent="0.35">
      <c r="A138" s="27"/>
      <c r="B138" s="27"/>
      <c r="C138" s="12">
        <v>2022</v>
      </c>
      <c r="D138" s="19">
        <v>0</v>
      </c>
      <c r="E138" s="13">
        <v>80231582186</v>
      </c>
      <c r="F138">
        <f t="shared" si="2"/>
        <v>0</v>
      </c>
    </row>
    <row r="139" spans="1:6" x14ac:dyDescent="0.35">
      <c r="A139" s="28"/>
      <c r="B139" s="28"/>
      <c r="C139" s="12">
        <v>2023</v>
      </c>
      <c r="D139" s="19">
        <v>17000000000</v>
      </c>
      <c r="E139" s="13">
        <v>102826550595</v>
      </c>
      <c r="F139">
        <f t="shared" si="2"/>
        <v>0.16532695010802623</v>
      </c>
    </row>
    <row r="140" spans="1:6" x14ac:dyDescent="0.35">
      <c r="A140" s="26">
        <v>46</v>
      </c>
      <c r="B140" s="26" t="s">
        <v>175</v>
      </c>
      <c r="C140" s="12">
        <v>2021</v>
      </c>
      <c r="D140" s="19">
        <v>0</v>
      </c>
      <c r="E140" s="13">
        <v>-3057178296</v>
      </c>
      <c r="F140">
        <f t="shared" si="2"/>
        <v>0</v>
      </c>
    </row>
    <row r="141" spans="1:6" x14ac:dyDescent="0.35">
      <c r="A141" s="27"/>
      <c r="B141" s="27"/>
      <c r="C141" s="12">
        <v>2022</v>
      </c>
      <c r="D141" s="19">
        <v>0</v>
      </c>
      <c r="E141" s="13">
        <v>-27368893968</v>
      </c>
      <c r="F141">
        <f t="shared" si="2"/>
        <v>0</v>
      </c>
    </row>
    <row r="142" spans="1:6" x14ac:dyDescent="0.35">
      <c r="A142" s="28"/>
      <c r="B142" s="28"/>
      <c r="C142" s="12">
        <v>2023</v>
      </c>
      <c r="D142" s="19">
        <v>0</v>
      </c>
      <c r="E142" s="13">
        <v>102777436</v>
      </c>
      <c r="F142">
        <f t="shared" si="2"/>
        <v>0</v>
      </c>
    </row>
    <row r="143" spans="1:6" x14ac:dyDescent="0.35">
      <c r="A143" s="26">
        <v>47</v>
      </c>
      <c r="B143" s="26" t="s">
        <v>181</v>
      </c>
      <c r="C143" s="12">
        <v>2021</v>
      </c>
      <c r="D143" s="19">
        <v>19358878260</v>
      </c>
      <c r="E143" s="13">
        <v>-191172298121</v>
      </c>
      <c r="F143">
        <f t="shared" si="2"/>
        <v>-0.10126403485376867</v>
      </c>
    </row>
    <row r="144" spans="1:6" x14ac:dyDescent="0.35">
      <c r="A144" s="27"/>
      <c r="B144" s="27"/>
      <c r="C144" s="12">
        <v>2022</v>
      </c>
      <c r="D144" s="19">
        <v>12313170660</v>
      </c>
      <c r="E144" s="16">
        <v>207915707392</v>
      </c>
      <c r="F144">
        <f t="shared" si="2"/>
        <v>5.9221935727948642E-2</v>
      </c>
    </row>
    <row r="145" spans="1:6" x14ac:dyDescent="0.35">
      <c r="A145" s="28"/>
      <c r="B145" s="28"/>
      <c r="C145" s="12">
        <v>2023</v>
      </c>
      <c r="D145" s="19">
        <v>36156229179</v>
      </c>
      <c r="E145" s="16">
        <v>231545763253</v>
      </c>
      <c r="F145">
        <f t="shared" si="2"/>
        <v>0.15615154719757779</v>
      </c>
    </row>
    <row r="146" spans="1:6" x14ac:dyDescent="0.35">
      <c r="A146" s="26">
        <v>48</v>
      </c>
      <c r="B146" s="26" t="s">
        <v>184</v>
      </c>
      <c r="C146" s="12">
        <v>2021</v>
      </c>
      <c r="D146" s="19">
        <v>875276000000</v>
      </c>
      <c r="E146" s="16">
        <v>-69075000000</v>
      </c>
      <c r="F146">
        <f t="shared" si="2"/>
        <v>-12.671386174448063</v>
      </c>
    </row>
    <row r="147" spans="1:6" x14ac:dyDescent="0.35">
      <c r="A147" s="27"/>
      <c r="B147" s="27"/>
      <c r="C147" s="12">
        <v>2022</v>
      </c>
      <c r="D147" s="19">
        <v>433652000000</v>
      </c>
      <c r="E147" s="16">
        <v>936343000000</v>
      </c>
      <c r="F147">
        <f t="shared" si="2"/>
        <v>0.46313370207285148</v>
      </c>
    </row>
    <row r="148" spans="1:6" x14ac:dyDescent="0.35">
      <c r="A148" s="28"/>
      <c r="B148" s="28"/>
      <c r="C148" s="12">
        <v>2023</v>
      </c>
      <c r="D148" s="19">
        <v>0</v>
      </c>
      <c r="E148" s="16">
        <v>1128341000000</v>
      </c>
      <c r="F148">
        <f t="shared" si="2"/>
        <v>0</v>
      </c>
    </row>
    <row r="149" spans="1:6" x14ac:dyDescent="0.35">
      <c r="A149" s="26">
        <v>49</v>
      </c>
      <c r="B149" s="26" t="s">
        <v>187</v>
      </c>
      <c r="C149" s="12">
        <v>2021</v>
      </c>
      <c r="D149" s="19">
        <v>0</v>
      </c>
      <c r="E149" s="16">
        <v>86817293</v>
      </c>
      <c r="F149">
        <f t="shared" si="2"/>
        <v>0</v>
      </c>
    </row>
    <row r="150" spans="1:6" x14ac:dyDescent="0.35">
      <c r="A150" s="27"/>
      <c r="B150" s="27"/>
      <c r="C150" s="12">
        <v>2022</v>
      </c>
      <c r="D150" s="19">
        <v>0</v>
      </c>
      <c r="E150" s="16">
        <v>-4966075922</v>
      </c>
      <c r="F150">
        <f t="shared" si="2"/>
        <v>0</v>
      </c>
    </row>
    <row r="151" spans="1:6" x14ac:dyDescent="0.35">
      <c r="A151" s="28"/>
      <c r="B151" s="28"/>
      <c r="C151" s="12">
        <v>2023</v>
      </c>
      <c r="D151" s="19">
        <v>0</v>
      </c>
      <c r="E151" s="16">
        <v>-6375333422</v>
      </c>
      <c r="F151">
        <f t="shared" si="2"/>
        <v>0</v>
      </c>
    </row>
    <row r="152" spans="1:6" x14ac:dyDescent="0.35">
      <c r="A152" s="26">
        <v>50</v>
      </c>
      <c r="B152" s="26" t="s">
        <v>190</v>
      </c>
      <c r="C152" s="12">
        <v>2021</v>
      </c>
      <c r="D152" s="19">
        <v>692194000000</v>
      </c>
      <c r="E152" s="16">
        <v>1601353000000</v>
      </c>
      <c r="F152">
        <f t="shared" si="2"/>
        <v>0.43225572375360088</v>
      </c>
    </row>
    <row r="153" spans="1:6" x14ac:dyDescent="0.35">
      <c r="A153" s="27"/>
      <c r="B153" s="27"/>
      <c r="C153" s="12">
        <v>2022</v>
      </c>
      <c r="D153" s="19">
        <v>815652000000</v>
      </c>
      <c r="E153" s="16">
        <v>1689441000000</v>
      </c>
      <c r="F153">
        <f t="shared" si="2"/>
        <v>0.48279401293090435</v>
      </c>
    </row>
    <row r="154" spans="1:6" x14ac:dyDescent="0.35">
      <c r="A154" s="28"/>
      <c r="B154" s="28"/>
      <c r="C154" s="12">
        <v>2023</v>
      </c>
      <c r="D154" s="19">
        <v>1365914000000</v>
      </c>
      <c r="E154" s="16">
        <v>1621694000000</v>
      </c>
      <c r="F154">
        <f t="shared" si="2"/>
        <v>0.84227603974609266</v>
      </c>
    </row>
    <row r="155" spans="1:6" x14ac:dyDescent="0.35">
      <c r="A155" s="26">
        <v>51</v>
      </c>
      <c r="B155" s="26" t="s">
        <v>193</v>
      </c>
      <c r="C155" s="12">
        <v>2021</v>
      </c>
      <c r="D155" s="19">
        <v>0</v>
      </c>
      <c r="E155" s="16">
        <v>7507914571</v>
      </c>
      <c r="F155">
        <f t="shared" si="2"/>
        <v>0</v>
      </c>
    </row>
    <row r="156" spans="1:6" x14ac:dyDescent="0.35">
      <c r="A156" s="27"/>
      <c r="B156" s="27"/>
      <c r="C156" s="12">
        <v>2022</v>
      </c>
      <c r="D156" s="19">
        <v>0</v>
      </c>
      <c r="E156" s="16">
        <v>3558334108</v>
      </c>
      <c r="F156">
        <f t="shared" si="2"/>
        <v>0</v>
      </c>
    </row>
    <row r="157" spans="1:6" x14ac:dyDescent="0.35">
      <c r="A157" s="28"/>
      <c r="B157" s="28"/>
      <c r="C157" s="12">
        <v>2023</v>
      </c>
      <c r="D157" s="19">
        <v>0</v>
      </c>
      <c r="E157" s="18">
        <v>-6765827827</v>
      </c>
      <c r="F157">
        <f t="shared" si="2"/>
        <v>0</v>
      </c>
    </row>
    <row r="158" spans="1:6" x14ac:dyDescent="0.35">
      <c r="A158" s="26">
        <v>52</v>
      </c>
      <c r="B158" s="26" t="s">
        <v>196</v>
      </c>
      <c r="C158" s="12">
        <v>2021</v>
      </c>
      <c r="D158" s="19">
        <v>29885000000000</v>
      </c>
      <c r="E158" s="16">
        <v>33948000000000</v>
      </c>
      <c r="F158">
        <f t="shared" si="2"/>
        <v>0.88031695534346643</v>
      </c>
    </row>
    <row r="159" spans="1:6" x14ac:dyDescent="0.35">
      <c r="A159" s="27"/>
      <c r="B159" s="27"/>
      <c r="C159" s="12">
        <v>2022</v>
      </c>
      <c r="D159" s="19">
        <v>24959000000000</v>
      </c>
      <c r="E159" s="16">
        <v>27680000000000</v>
      </c>
      <c r="F159">
        <f t="shared" si="2"/>
        <v>0.90169797687861275</v>
      </c>
    </row>
    <row r="160" spans="1:6" x14ac:dyDescent="0.35">
      <c r="A160" s="28"/>
      <c r="B160" s="28"/>
      <c r="C160" s="12">
        <v>2023</v>
      </c>
      <c r="D160" s="19">
        <v>26406000000000</v>
      </c>
      <c r="E160" s="16">
        <v>32208000000000</v>
      </c>
      <c r="F160">
        <f t="shared" si="2"/>
        <v>0.81985842026825628</v>
      </c>
    </row>
    <row r="161" spans="1:7" x14ac:dyDescent="0.35">
      <c r="A161" s="26">
        <v>53</v>
      </c>
      <c r="B161" s="26" t="s">
        <v>199</v>
      </c>
      <c r="C161" s="12">
        <v>2021</v>
      </c>
      <c r="D161" s="19">
        <v>0</v>
      </c>
      <c r="E161" s="16">
        <v>573379839</v>
      </c>
      <c r="F161">
        <f t="shared" si="2"/>
        <v>0</v>
      </c>
    </row>
    <row r="162" spans="1:7" x14ac:dyDescent="0.35">
      <c r="A162" s="27"/>
      <c r="B162" s="27"/>
      <c r="C162" s="12">
        <v>2022</v>
      </c>
      <c r="D162" s="19">
        <v>0</v>
      </c>
      <c r="E162" s="16">
        <v>-93781473549</v>
      </c>
      <c r="F162">
        <f t="shared" si="2"/>
        <v>0</v>
      </c>
    </row>
    <row r="163" spans="1:7" x14ac:dyDescent="0.35">
      <c r="A163" s="28"/>
      <c r="B163" s="28"/>
      <c r="C163" s="12">
        <v>2023</v>
      </c>
      <c r="D163" s="19">
        <v>0</v>
      </c>
      <c r="E163" s="16">
        <v>-325802983023</v>
      </c>
      <c r="F163">
        <f t="shared" si="2"/>
        <v>0</v>
      </c>
    </row>
    <row r="164" spans="1:7" x14ac:dyDescent="0.35">
      <c r="A164" s="26">
        <v>54</v>
      </c>
      <c r="B164" s="26" t="s">
        <v>202</v>
      </c>
      <c r="C164" s="12">
        <v>2021</v>
      </c>
      <c r="D164" s="19">
        <v>34100000000</v>
      </c>
      <c r="E164" s="16">
        <v>101633430000</v>
      </c>
      <c r="F164">
        <f t="shared" si="2"/>
        <v>0.33551952344814101</v>
      </c>
    </row>
    <row r="165" spans="1:7" x14ac:dyDescent="0.35">
      <c r="A165" s="27"/>
      <c r="B165" s="27"/>
      <c r="C165" s="12">
        <v>2022</v>
      </c>
      <c r="D165" s="19">
        <v>85250000000</v>
      </c>
      <c r="E165" s="16">
        <v>91646670000</v>
      </c>
      <c r="F165">
        <f t="shared" si="2"/>
        <v>0.93020291953870227</v>
      </c>
    </row>
    <row r="166" spans="1:7" x14ac:dyDescent="0.35">
      <c r="A166" s="28"/>
      <c r="B166" s="28"/>
      <c r="C166" s="12">
        <v>2023</v>
      </c>
      <c r="D166" s="19">
        <v>341000000000</v>
      </c>
      <c r="E166" s="16">
        <v>172704944000</v>
      </c>
      <c r="F166">
        <f t="shared" si="2"/>
        <v>1.9744657686232769</v>
      </c>
    </row>
    <row r="167" spans="1:7" x14ac:dyDescent="0.35">
      <c r="A167" s="26">
        <v>55</v>
      </c>
      <c r="B167" s="26" t="s">
        <v>205</v>
      </c>
      <c r="C167" s="12">
        <v>2021</v>
      </c>
      <c r="D167" s="19">
        <v>1399002000000</v>
      </c>
      <c r="E167" s="16">
        <v>3447875000000</v>
      </c>
      <c r="F167">
        <f t="shared" si="2"/>
        <v>0.40575774933836056</v>
      </c>
      <c r="G167">
        <f>D167*1000000</f>
        <v>1.399002E+18</v>
      </c>
    </row>
    <row r="168" spans="1:7" x14ac:dyDescent="0.35">
      <c r="A168" s="27"/>
      <c r="B168" s="27"/>
      <c r="C168" s="12">
        <v>2022</v>
      </c>
      <c r="D168" s="19">
        <v>1200154000000</v>
      </c>
      <c r="E168" s="16">
        <v>3496535000000</v>
      </c>
      <c r="F168">
        <f t="shared" si="2"/>
        <v>0.34324095139902788</v>
      </c>
      <c r="G168">
        <f t="shared" ref="G168:G170" si="3">D168*1000000</f>
        <v>1.200154E+18</v>
      </c>
    </row>
    <row r="169" spans="1:7" x14ac:dyDescent="0.35">
      <c r="A169" s="28"/>
      <c r="B169" s="28"/>
      <c r="C169" s="12">
        <v>2023</v>
      </c>
      <c r="D169" s="19">
        <v>1200155000000</v>
      </c>
      <c r="E169" s="16">
        <v>3303642000000</v>
      </c>
      <c r="F169">
        <f t="shared" si="2"/>
        <v>0.36328240166458714</v>
      </c>
      <c r="G169">
        <f t="shared" si="3"/>
        <v>1.200155E+18</v>
      </c>
    </row>
    <row r="170" spans="1:7" x14ac:dyDescent="0.35">
      <c r="A170" s="26">
        <v>56</v>
      </c>
      <c r="B170" s="26" t="s">
        <v>208</v>
      </c>
      <c r="C170" s="12">
        <v>2021</v>
      </c>
      <c r="D170" s="19">
        <v>30726120000</v>
      </c>
      <c r="E170" s="16">
        <v>216387979386</v>
      </c>
      <c r="F170">
        <f t="shared" si="2"/>
        <v>0.14199550311059439</v>
      </c>
    </row>
    <row r="171" spans="1:7" x14ac:dyDescent="0.35">
      <c r="A171" s="27"/>
      <c r="B171" s="27"/>
      <c r="C171" s="12">
        <v>2022</v>
      </c>
      <c r="D171" s="19">
        <v>42786840000</v>
      </c>
      <c r="E171" s="16">
        <v>230257330260</v>
      </c>
      <c r="F171">
        <f t="shared" si="2"/>
        <v>0.18582183660205875</v>
      </c>
    </row>
    <row r="172" spans="1:7" x14ac:dyDescent="0.35">
      <c r="A172" s="28"/>
      <c r="B172" s="28"/>
      <c r="C172" s="12">
        <v>2023</v>
      </c>
      <c r="D172" s="19">
        <v>23164240000</v>
      </c>
      <c r="E172" s="16">
        <v>46500150448</v>
      </c>
      <c r="F172">
        <f t="shared" si="2"/>
        <v>0.49815408717664283</v>
      </c>
    </row>
    <row r="173" spans="1:7" x14ac:dyDescent="0.35">
      <c r="A173" s="26">
        <v>57</v>
      </c>
      <c r="B173" s="26" t="s">
        <v>211</v>
      </c>
      <c r="C173" s="12">
        <v>2021</v>
      </c>
      <c r="D173" s="19">
        <v>21719602000</v>
      </c>
      <c r="E173" s="16">
        <v>214424794000</v>
      </c>
      <c r="F173">
        <f t="shared" si="2"/>
        <v>0.10129239998243859</v>
      </c>
    </row>
    <row r="174" spans="1:7" x14ac:dyDescent="0.35">
      <c r="A174" s="27"/>
      <c r="B174" s="27"/>
      <c r="C174" s="12">
        <v>2022</v>
      </c>
      <c r="D174" s="19">
        <v>16056673000</v>
      </c>
      <c r="E174" s="16">
        <v>12586435000</v>
      </c>
      <c r="F174">
        <f t="shared" si="2"/>
        <v>1.2757125429082976</v>
      </c>
    </row>
    <row r="175" spans="1:7" x14ac:dyDescent="0.35">
      <c r="A175" s="28"/>
      <c r="B175" s="28"/>
      <c r="C175" s="12">
        <v>2023</v>
      </c>
      <c r="D175" s="19">
        <v>22648825000</v>
      </c>
      <c r="E175" s="16">
        <v>-7824538997</v>
      </c>
      <c r="F175">
        <f t="shared" si="2"/>
        <v>-2.8945890625228867</v>
      </c>
    </row>
    <row r="176" spans="1:7" x14ac:dyDescent="0.35">
      <c r="A176" s="26">
        <v>58</v>
      </c>
      <c r="B176" s="26" t="s">
        <v>214</v>
      </c>
      <c r="C176" s="12">
        <v>2021</v>
      </c>
      <c r="D176" s="19">
        <v>0</v>
      </c>
      <c r="E176" s="16">
        <v>-1838733441975</v>
      </c>
      <c r="F176">
        <f t="shared" si="2"/>
        <v>0</v>
      </c>
    </row>
    <row r="177" spans="1:6" x14ac:dyDescent="0.35">
      <c r="A177" s="27"/>
      <c r="B177" s="27"/>
      <c r="C177" s="12">
        <v>2022</v>
      </c>
      <c r="D177" s="19">
        <v>0</v>
      </c>
      <c r="E177" s="16">
        <v>-1672733807060</v>
      </c>
      <c r="F177">
        <f t="shared" si="2"/>
        <v>0</v>
      </c>
    </row>
    <row r="178" spans="1:6" x14ac:dyDescent="0.35">
      <c r="A178" s="28"/>
      <c r="B178" s="28"/>
      <c r="C178" s="12">
        <v>2023</v>
      </c>
      <c r="D178" s="19">
        <v>0</v>
      </c>
      <c r="E178" s="16">
        <v>-4018265010703</v>
      </c>
      <c r="F178">
        <f t="shared" si="2"/>
        <v>0</v>
      </c>
    </row>
  </sheetData>
  <mergeCells count="116">
    <mergeCell ref="A173:A175"/>
    <mergeCell ref="B173:B175"/>
    <mergeCell ref="A176:A178"/>
    <mergeCell ref="B176:B178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23:A25"/>
    <mergeCell ref="B23:B25"/>
    <mergeCell ref="A26:A28"/>
    <mergeCell ref="B26:B28"/>
    <mergeCell ref="A17:A19"/>
    <mergeCell ref="B17:B19"/>
    <mergeCell ref="A20:A22"/>
    <mergeCell ref="B20:B22"/>
    <mergeCell ref="A11:A13"/>
    <mergeCell ref="B11:B13"/>
    <mergeCell ref="A14:A16"/>
    <mergeCell ref="B14:B16"/>
    <mergeCell ref="A5:A7"/>
    <mergeCell ref="B5:B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 IPO</vt:lpstr>
      <vt:lpstr>AFTER IPO</vt:lpstr>
      <vt:lpstr>Y (DIVIDEND POLICY)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2024-11-15T02:15:04Z</dcterms:modified>
</cp:coreProperties>
</file>